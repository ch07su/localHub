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day03\"/>
    </mc:Choice>
  </mc:AlternateContent>
  <xr:revisionPtr revIDLastSave="0" documentId="13_ncr:1_{BC45E580-6CF7-4B54-92F1-19F626A3AD00}" xr6:coauthVersionLast="47" xr6:coauthVersionMax="47" xr10:uidLastSave="{00000000-0000-0000-0000-000000000000}"/>
  <bookViews>
    <workbookView xWindow="1545" yWindow="2490" windowWidth="21600" windowHeight="11295" tabRatio="500" firstSheet="2" activeTab="2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4" l="1"/>
  <c r="G16" i="4"/>
  <c r="G17" i="4"/>
  <c r="G18" i="4"/>
  <c r="G19" i="4"/>
  <c r="G14" i="4"/>
  <c r="G6" i="4"/>
  <c r="G7" i="4"/>
  <c r="G8" i="4"/>
  <c r="G9" i="4"/>
  <c r="G10" i="4"/>
  <c r="G11" i="4"/>
  <c r="G12" i="4"/>
  <c r="G13" i="4"/>
</calcChain>
</file>

<file path=xl/sharedStrings.xml><?xml version="1.0" encoding="utf-8"?>
<sst xmlns="http://schemas.openxmlformats.org/spreadsheetml/2006/main" count="521" uniqueCount="392">
  <si>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</si>
  <si>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</si>
  <si>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</si>
  <si>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</si>
  <si>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</si>
  <si>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</si>
  <si>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</si>
  <si>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</si>
  <si>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</si>
  <si>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</si>
  <si>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</si>
  <si>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</si>
  <si>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</si>
  <si>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</si>
  <si>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</si>
  <si>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</si>
  <si>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</si>
  <si>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</si>
  <si>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</si>
  <si>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</si>
  <si>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</si>
  <si>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</si>
  <si>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</si>
  <si>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</si>
  <si>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</si>
  <si>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</si>
  <si>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</si>
  <si>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</si>
  <si>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</si>
  <si>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</si>
  <si>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</si>
  <si>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</si>
  <si>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</si>
  <si>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</si>
  <si>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</si>
  <si>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</si>
  <si>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</si>
  <si>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</si>
  <si>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</si>
  <si>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</si>
  <si>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</si>
  <si>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</si>
  <si>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</si>
  <si>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</si>
  <si>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</si>
  <si>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</si>
  <si>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</si>
  <si>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</si>
  <si>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</si>
  <si>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</si>
  <si>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</si>
  <si>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</si>
  <si>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</si>
  <si>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</si>
  <si>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</si>
  <si>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</si>
  <si>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</si>
  <si>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</si>
  <si>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</si>
  <si>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</si>
  <si>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</si>
  <si>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</si>
  <si>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</si>
  <si>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</si>
  <si>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</si>
  <si>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</si>
  <si>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</si>
  <si>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</si>
  <si>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</si>
  <si>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</si>
  <si>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</si>
  <si>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</si>
  <si>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</si>
  <si>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</si>
  <si>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</si>
  <si>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</si>
  <si>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</si>
  <si>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</si>
  <si>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</si>
  <si>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</si>
  <si>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</si>
  <si>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</si>
  <si>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</si>
  <si>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</si>
  <si>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</si>
  <si>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</si>
  <si>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</si>
  <si>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</si>
  <si>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</si>
  <si>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</si>
  <si>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</si>
  <si>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</si>
  <si>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</si>
  <si>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</si>
  <si>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</si>
  <si>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</si>
  <si>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</si>
  <si>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</si>
  <si>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</si>
  <si>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</si>
  <si>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</si>
  <si>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</si>
  <si>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</si>
  <si>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</si>
  <si>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</si>
  <si>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</si>
  <si>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</si>
  <si>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</si>
  <si>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</si>
  <si>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</si>
  <si>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</si>
  <si>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</si>
  <si>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</si>
  <si>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</si>
  <si>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</si>
  <si>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</si>
  <si>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</si>
  <si>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</si>
  <si>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</si>
  <si>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</si>
  <si>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</si>
  <si>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</si>
  <si>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</si>
  <si>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</si>
  <si>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</si>
  <si>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</si>
  <si>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</si>
  <si>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</si>
  <si>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</si>
  <si>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</si>
  <si>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</si>
  <si>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</si>
  <si>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</si>
  <si>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</si>
  <si>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</si>
  <si>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</si>
  <si>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</si>
  <si>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</si>
  <si>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</si>
  <si>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</si>
  <si>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</si>
  <si>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</si>
  <si>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</si>
  <si>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</si>
  <si>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</si>
  <si>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</si>
  <si>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</si>
  <si>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</si>
  <si>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</si>
  <si>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</si>
  <si>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필수</t>
  </si>
  <si>
    <t>권역 선택</t>
  </si>
  <si>
    <t>서울, 대전/충청, 구미/경북, 광주/전라, 부산 중 1개 권역 선택</t>
  </si>
  <si>
    <t>II-2</t>
  </si>
  <si>
    <t>초기에 권역 확정 필요</t>
  </si>
  <si>
    <t>JSON 데이터 연동</t>
  </si>
  <si>
    <t>제공된 JSON 데이터를 프론트엔드에서 직접 불러와 사용</t>
  </si>
  <si>
    <t>III-제공데이터 가</t>
  </si>
  <si>
    <t>API 직접 호출 불필요</t>
  </si>
  <si>
    <t>제약</t>
  </si>
  <si>
    <t>공공 API 직접 호출 금지</t>
  </si>
  <si>
    <t>제공 JSON만 사용, 공공 API 직접 호출 불필요</t>
  </si>
  <si>
    <t>II-2, III-가</t>
  </si>
  <si>
    <t>백엔드 없이 구현</t>
  </si>
  <si>
    <t>백엔드 서버 없음</t>
  </si>
  <si>
    <t>정적 SPA 구조로 개발</t>
  </si>
  <si>
    <t>서버 기능 구현 불가</t>
  </si>
  <si>
    <t>추가 데이터 사용 조건</t>
  </si>
  <si>
    <t>추가 데이터는 라이선스·공공누리 확인 후 사용</t>
  </si>
  <si>
    <t>II-2, III-나</t>
  </si>
  <si>
    <t>라이선스 검토 필수</t>
  </si>
  <si>
    <t>데이터 출처 문서화</t>
  </si>
  <si>
    <t>출처·라이선스·수집일을 기능명세서에 포함</t>
  </si>
  <si>
    <t>III-다</t>
  </si>
  <si>
    <t>명세서 작성 필요</t>
  </si>
  <si>
    <t>익명 커뮤니티</t>
  </si>
  <si>
    <t>회원가입·로그인 없이 운영</t>
  </si>
  <si>
    <t>III-CRUD 가</t>
  </si>
  <si>
    <t>인증 기능 제외</t>
  </si>
  <si>
    <t>사용자 인증 미적용</t>
  </si>
  <si>
    <t>권한 체계 적용하지 않음</t>
  </si>
  <si>
    <t>로그인 구현 금지</t>
  </si>
  <si>
    <t>게시글 저장</t>
  </si>
  <si>
    <t>localStorage에 저장</t>
  </si>
  <si>
    <t>III-CRUD 나</t>
  </si>
  <si>
    <t>브라우저 저장 방식</t>
  </si>
  <si>
    <t>비밀번호 확인</t>
  </si>
  <si>
    <t>수정용 비밀번호 저장 후 수정·삭제 시 비교</t>
  </si>
  <si>
    <t>프론트엔드에서만 검증</t>
  </si>
  <si>
    <t>비밀번호 암호화 없음</t>
  </si>
  <si>
    <t>교육 목적상 평문 저장</t>
  </si>
  <si>
    <t>실제 서비스와 차이 존재</t>
  </si>
  <si>
    <t>게시글 공유 불가</t>
  </si>
  <si>
    <t>작성 브라우저에서만 확인 가능</t>
  </si>
  <si>
    <t>localStorage 특성</t>
  </si>
  <si>
    <t>게시판 CRUD</t>
  </si>
  <si>
    <t>목록, 상세, 작성, 수정, 삭제</t>
  </si>
  <si>
    <t>III-CRUD 다</t>
  </si>
  <si>
    <t>핵심 기능</t>
  </si>
  <si>
    <t>챗봇 API</t>
  </si>
  <si>
    <t>OpenAI API 직접 호출</t>
  </si>
  <si>
    <t>III-챗봇 가</t>
  </si>
  <si>
    <t>API Key 필요</t>
  </si>
  <si>
    <t>환경변수 관리</t>
  </si>
  <si>
    <t>.env(VITE_)로 API Key 관리</t>
  </si>
  <si>
    <t>환경변수 설정 필요</t>
  </si>
  <si>
    <t>API Key 노출 가능</t>
  </si>
  <si>
    <t>Vite 특성상 브라우저에 포함</t>
  </si>
  <si>
    <t>사용량 제한 키 사용 권장</t>
  </si>
  <si>
    <t>결제 한도 제한</t>
  </si>
  <si>
    <t>낮은 결제 한도의 키 사용</t>
  </si>
  <si>
    <t>비용 관리 필요</t>
  </si>
  <si>
    <t>지역 정보 QA</t>
  </si>
  <si>
    <t>JSON 기반 자연어 질의응답</t>
  </si>
  <si>
    <t>프롬프트 설계 필요</t>
  </si>
  <si>
    <t>추천 기능</t>
  </si>
  <si>
    <t>관광지·축제·맛집 등 추천</t>
  </si>
  <si>
    <t>III-챗봇 나</t>
  </si>
  <si>
    <t>대표 질의 구현</t>
  </si>
  <si>
    <t>게시글 검색</t>
  </si>
  <si>
    <t>커뮤니티 게시글 검색 응답</t>
  </si>
  <si>
    <t>localStorage 검색 활용</t>
  </si>
  <si>
    <t>채팅 UI</t>
  </si>
  <si>
    <t>히스토리 유지, 모바일 대응, 플로팅 UI</t>
  </si>
  <si>
    <t>III-챗봇 다</t>
  </si>
  <si>
    <t>UX 중요</t>
  </si>
  <si>
    <t>프론트엔드</t>
  </si>
  <si>
    <t>Vue.js 3 기반 SPA</t>
  </si>
  <si>
    <t>III-프론트 가</t>
  </si>
  <si>
    <t>Vite 사용</t>
  </si>
  <si>
    <t>Netlify 배포</t>
  </si>
  <si>
    <t>III-배포 가</t>
  </si>
  <si>
    <t>URL 제출 필요</t>
  </si>
  <si>
    <t>배포 URL</t>
  </si>
  <si>
    <t>동작 가능한 URL 제출</t>
  </si>
  <si>
    <t>III-배포 나</t>
  </si>
  <si>
    <t>제출물 포함</t>
  </si>
  <si>
    <t>개발환경</t>
  </si>
  <si>
    <t>VSCode + Copilot + OpenAI API만 허용</t>
  </si>
  <si>
    <t>III-AI도구 가</t>
  </si>
  <si>
    <t>지정 환경 사용</t>
  </si>
  <si>
    <t>AI 코딩도구 사용 금지</t>
  </si>
  <si>
    <t>Claude Code, Codex, Cursor 등 사용 불가</t>
  </si>
  <si>
    <t>III-AI도구 나</t>
  </si>
  <si>
    <t>위반 시 불이익 가능</t>
  </si>
  <si>
    <t>소스 제출</t>
  </si>
  <si>
    <t>Git Repository 제출</t>
  </si>
  <si>
    <t>참고1</t>
  </si>
  <si>
    <t>.env 제외 확인</t>
  </si>
  <si>
    <t>.env 제출 금지</t>
  </si>
  <si>
    <t>저장소에 포함 금지</t>
  </si>
  <si>
    <t>Git Ignore 확인</t>
  </si>
  <si>
    <t>기능명세서</t>
  </si>
  <si>
    <t>PDF/docx 제출</t>
  </si>
  <si>
    <t>데이터 출처 포함</t>
  </si>
  <si>
    <t>WBS</t>
  </si>
  <si>
    <t>문서 또는 스프레드시트 제출</t>
  </si>
  <si>
    <t>일정 관리</t>
  </si>
  <si>
    <t>발표자료</t>
  </si>
  <si>
    <t>PPT 또는 PDF 제출</t>
  </si>
  <si>
    <t>발표 준비</t>
  </si>
  <si>
    <t>선택</t>
  </si>
  <si>
    <t>지도 시각화</t>
  </si>
  <si>
    <t>Leaflet/Kakao Maps 활용</t>
  </si>
  <si>
    <t>참고2</t>
  </si>
  <si>
    <t>구현 난이도 보통</t>
  </si>
  <si>
    <t>데이터 시각화</t>
  </si>
  <si>
    <t>Chart.js, D3.js 활용</t>
  </si>
  <si>
    <t>통계 제공 가능</t>
  </si>
  <si>
    <t>축제 캘린더</t>
  </si>
  <si>
    <t>FullCalendar 활용</t>
  </si>
  <si>
    <t>일정 표시</t>
  </si>
  <si>
    <t>경로 안내</t>
  </si>
  <si>
    <t>관광지 이동 경로 시각화</t>
  </si>
  <si>
    <t>지도 API 활용</t>
  </si>
  <si>
    <t>날씨 연동</t>
  </si>
  <si>
    <t>외부 날씨 API</t>
  </si>
  <si>
    <t>여행 정보 강화</t>
  </si>
  <si>
    <t>실시간 알림</t>
  </si>
  <si>
    <t>polling 기반 새 글 알림</t>
  </si>
  <si>
    <t>WebSocket 제외</t>
  </si>
  <si>
    <t>다국어 지원</t>
  </si>
  <si>
    <t>i18n 적용</t>
  </si>
  <si>
    <t>한/영 전환</t>
  </si>
  <si>
    <t>소셜 공유</t>
  </si>
  <si>
    <t>카카오톡, 링크 공유</t>
  </si>
  <si>
    <t>OG 태그 포함</t>
  </si>
  <si>
    <t>게시판 추가 기능</t>
  </si>
  <si>
    <t>조회수, 검색, 북마크, 좋아요, 이미지, 태그</t>
  </si>
  <si>
    <t>구현 우선순위 결정</t>
  </si>
  <si>
    <t>선택 기능 라이선스 확인</t>
  </si>
  <si>
    <t>활용 데이터 라이선스 추가 기재</t>
  </si>
  <si>
    <t>명세서 수정 필요</t>
  </si>
  <si>
    <t>납기</t>
  </si>
  <si>
    <t>2026.07.16 15:00까지 제출</t>
  </si>
  <si>
    <t>II-3, 참고1</t>
  </si>
  <si>
    <t>일정 엄수</t>
  </si>
  <si>
    <t>예산</t>
  </si>
  <si>
    <t>외부 서비스 비용은 예산 초과 불가</t>
  </si>
  <si>
    <t>API 사용량 관리</t>
  </si>
  <si>
    <t>기능 변경 없음</t>
  </si>
  <si>
    <t>개발 착수 후 요구사항 변경 없음</t>
  </si>
  <si>
    <t>II-3</t>
  </si>
  <si>
    <t>초기 설계 중요</t>
  </si>
  <si>
    <t>기능 추가 불가</t>
  </si>
  <si>
    <t>착수 후 범위 변경 원칙적 미수용</t>
  </si>
  <si>
    <t>V-5</t>
  </si>
  <si>
    <t>MVP 우선 구현</t>
  </si>
  <si>
    <t>기술검토 제출</t>
  </si>
  <si>
    <t>개발 일정 및 기술 검토 의견 준비</t>
  </si>
  <si>
    <t>V-6</t>
  </si>
  <si>
    <t>미팅 전 준비</t>
  </si>
  <si>
    <t>날씨 정보 연동</t>
  </si>
  <si>
    <t>Leaflet 또는 Kakao Maps를 활용해 관광지·맛집을 지도에 핀으로 표시</t>
  </si>
  <si>
    <t>데이터 시각화 대시보드</t>
  </si>
  <si>
    <t>Chart.js/D3.js로 게시글 현황, 인기 지역 등을 그래프로 시각화</t>
  </si>
  <si>
    <t>FullCalendar를 이용해 권역별 축제 일정을 달력 형태로 제공</t>
  </si>
  <si>
    <t>여러 관광지·맛집을 선택하여 이동 경로를 지도에 표시</t>
  </si>
  <si>
    <t>외부 날씨 API를 연동하여 현재 날씨와 여행 적합 여부 제공</t>
  </si>
  <si>
    <t>polling 방식으로 새 게시글 등록 여부를 확인하여 알림 제공</t>
  </si>
  <si>
    <t>i18n을 활용한 한/영 전환 및 다국어 콘텐츠 제공</t>
  </si>
  <si>
    <t>소셜 공유 연동</t>
  </si>
  <si>
    <t>카카오톡 공유, 링크 복사 등 외부 플랫폼 공유 기능 제공</t>
  </si>
  <si>
    <t>게시판 추가기능(조회수)</t>
  </si>
  <si>
    <t>게시글 조회 횟수 표시</t>
  </si>
  <si>
    <t>게시판 추가기능(검색)</t>
  </si>
  <si>
    <t>제목·내용 검색 기능 제공</t>
  </si>
  <si>
    <t>게시판 추가기능(북마크)</t>
  </si>
  <si>
    <t>관심 게시글을 저장하여 다시 확인 가능</t>
  </si>
  <si>
    <t>게시판 추가기능(좋아요)</t>
  </si>
  <si>
    <t>게시글 추천 기능 제공</t>
  </si>
  <si>
    <t>게시판 추가기능(이미지 첨부)</t>
  </si>
  <si>
    <t>게시글에 이미지 업로드 및 표시</t>
  </si>
  <si>
    <t>게시판 추가기능(태그)</t>
  </si>
  <si>
    <t>태그를 활용한 게시글 분류 및 검색</t>
  </si>
  <si>
    <t>선정</t>
  </si>
  <si>
    <t>보류</t>
  </si>
  <si>
    <t>제외</t>
  </si>
  <si>
    <r>
      <rPr>
        <sz val="10"/>
        <color rgb="FF222222"/>
        <rFont val="맑은 고딕"/>
        <family val="3"/>
        <charset val="129"/>
      </rPr>
      <t>서울</t>
    </r>
    <r>
      <rPr>
        <sz val="10"/>
        <color rgb="FF222222"/>
        <rFont val="Noto Sans CJK SC"/>
        <family val="2"/>
      </rPr>
      <t>/ 경기</t>
    </r>
    <phoneticPr fontId="17" type="noConversion"/>
  </si>
  <si>
    <t>Vue3 + Vite 프로젝트</t>
    <phoneticPr fontId="17" type="noConversion"/>
  </si>
  <si>
    <r>
      <t>JSON 데이터</t>
    </r>
    <r>
      <rPr>
        <sz val="10"/>
        <color rgb="FF222222"/>
        <rFont val="돋움"/>
        <family val="2"/>
        <charset val="129"/>
      </rPr>
      <t xml:space="preserve"> 로딩</t>
    </r>
    <phoneticPr fontId="17" type="noConversion"/>
  </si>
  <si>
    <t>익명 게시판 CRUD</t>
    <phoneticPr fontId="17" type="noConversion"/>
  </si>
  <si>
    <t>localStorage 저장</t>
    <phoneticPr fontId="17" type="noConversion"/>
  </si>
  <si>
    <t>OpenAI 챗봇</t>
    <phoneticPr fontId="17" type="noConversion"/>
  </si>
  <si>
    <t>Netlify 배포</t>
    <phoneticPr fontId="17" type="noConversion"/>
  </si>
  <si>
    <t>게시글 검색</t>
    <phoneticPr fontId="17" type="noConversion"/>
  </si>
  <si>
    <t>축제 캘린더</t>
    <phoneticPr fontId="17" type="noConversion"/>
  </si>
  <si>
    <t>지도 시각화</t>
    <phoneticPr fontId="17" type="noConversion"/>
  </si>
  <si>
    <t>데이터 시각화</t>
    <phoneticPr fontId="17" type="noConversion"/>
  </si>
  <si>
    <t>날씨 정보</t>
    <phoneticPr fontId="17" type="noConversion"/>
  </si>
  <si>
    <t>좋아요/ 북마크</t>
    <phoneticPr fontId="17" type="noConversion"/>
  </si>
  <si>
    <t>소셜 공유</t>
    <phoneticPr fontId="17" type="noConversion"/>
  </si>
  <si>
    <t>로그인/ 회원가입</t>
    <phoneticPr fontId="17" type="noConversion"/>
  </si>
  <si>
    <t>백엔드 서버</t>
    <phoneticPr fontId="17" type="noConversion"/>
  </si>
  <si>
    <t>경로 안내</t>
    <phoneticPr fontId="17" type="noConversion"/>
  </si>
  <si>
    <t>이미지 첨부</t>
    <phoneticPr fontId="17" type="noConversion"/>
  </si>
  <si>
    <t>다국어 지원</t>
    <phoneticPr fontId="17" type="noConversion"/>
  </si>
  <si>
    <t>나머지 4개 권역 구현</t>
    <phoneticPr fontId="17" type="noConversion"/>
  </si>
  <si>
    <t>납기 내 필수기능 100% 구현 + 선택기능 1개 배포 + 배포 URL 정상 동작</t>
  </si>
  <si>
    <r>
      <rPr>
        <sz val="11"/>
        <color rgb="FF3F4350"/>
        <rFont val="맑은 고딕"/>
        <family val="3"/>
        <charset val="129"/>
      </rPr>
      <t>광고성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정보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피로도와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주말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나들이를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위한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신뢰할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수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있는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축제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및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로컬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정보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소통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채널의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부재</t>
    </r>
    <r>
      <rPr>
        <sz val="11"/>
        <color rgb="FF3F4350"/>
        <rFont val="Arial"/>
        <family val="2"/>
      </rPr>
      <t xml:space="preserve"> </t>
    </r>
    <phoneticPr fontId="17" type="noConversion"/>
  </si>
  <si>
    <r>
      <rPr>
        <sz val="10"/>
        <color rgb="FF222222"/>
        <rFont val="맑은 고딕"/>
        <family val="3"/>
        <charset val="129"/>
      </rPr>
      <t>서울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경기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축제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일정을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직관적으로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확인하고,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방문객의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생생한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익명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후기를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싶은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나들이객</t>
    </r>
    <phoneticPr fontId="17" type="noConversion"/>
  </si>
  <si>
    <t>공공 API 직접 호출</t>
  </si>
  <si>
    <t>RFP 분석 및 기능 정의</t>
  </si>
  <si>
    <t>팀전체</t>
  </si>
  <si>
    <t>MVP 선정(MoSCoW)</t>
  </si>
  <si>
    <t>WBS 작성 및 역할 분담</t>
  </si>
  <si>
    <t>Vue3 프로젝트 생성 및 환경설정</t>
  </si>
  <si>
    <t>FE</t>
  </si>
  <si>
    <t>화면(UI) 구조 및 Router 설계</t>
  </si>
  <si>
    <t>JSON 데이터 구조 분석</t>
  </si>
  <si>
    <t>메인 화면 구현</t>
  </si>
  <si>
    <t>게시판 CRUD(localStorage)</t>
  </si>
  <si>
    <t>게시글 비밀번호 검증</t>
  </si>
  <si>
    <t>OpenAI API 연동</t>
  </si>
  <si>
    <t>챗봇 UI 및 대화 기능</t>
  </si>
  <si>
    <t>게시글 검색 기능(Should)</t>
  </si>
  <si>
    <t>축제 캘린더 구현(Should)</t>
  </si>
  <si>
    <t>지도 시각화(Should)</t>
  </si>
  <si>
    <t>기능 통합 테스트</t>
  </si>
  <si>
    <t>버그 수정 및 UI 개선</t>
  </si>
  <si>
    <t>Netlify 배포 및 URL 확인</t>
  </si>
  <si>
    <t>기능명세서 작성</t>
  </si>
  <si>
    <t>Git Repository 정리(.env 제외)</t>
  </si>
  <si>
    <t>발표 PPT 제작</t>
  </si>
  <si>
    <t>시연 리허설 및 최종 점검</t>
  </si>
  <si>
    <r>
      <rPr>
        <sz val="11"/>
        <color theme="1"/>
        <rFont val="맑은 고딕"/>
        <family val="3"/>
        <charset val="129"/>
      </rPr>
      <t>축제</t>
    </r>
    <r>
      <rPr>
        <sz val="11"/>
        <color theme="1"/>
        <rFont val="돋움"/>
        <family val="2"/>
        <charset val="129"/>
      </rPr>
      <t xml:space="preserve"> 캘린더 (1순위)</t>
    </r>
    <r>
      <rPr>
        <sz val="11"/>
        <color theme="1"/>
        <rFont val="Calibri"/>
        <family val="3"/>
        <charset val="129"/>
      </rPr>
      <t xml:space="preserve">
</t>
    </r>
    <r>
      <rPr>
        <sz val="11"/>
        <color theme="1"/>
        <rFont val="돋움"/>
        <family val="3"/>
        <charset val="129"/>
      </rPr>
      <t xml:space="preserve">게시판 추가기능(검색) (2순위)
</t>
    </r>
    <r>
      <rPr>
        <sz val="11"/>
        <color theme="1"/>
        <rFont val="Calibri"/>
        <family val="3"/>
        <charset val="129"/>
      </rPr>
      <t>지도</t>
    </r>
    <r>
      <rPr>
        <sz val="11"/>
        <color theme="1"/>
        <rFont val="돋움"/>
        <family val="3"/>
        <charset val="129"/>
      </rPr>
      <t xml:space="preserve"> 시각화/ 데이터 시각화 대시보드 (예비 후보)
- 개발기간 3일 내 완성 가능성을 최우선으로 판단</t>
    </r>
    <phoneticPr fontId="17" type="noConversion"/>
  </si>
  <si>
    <t>단위를 잘 나눠서 ASK 모드로</t>
    <phoneticPr fontId="17" type="noConversion"/>
  </si>
  <si>
    <t>쭉 만들어달라 하지 않고</t>
    <phoneticPr fontId="17" type="noConversion"/>
  </si>
  <si>
    <t>틀을 먼저 잡는다거나</t>
    <phoneticPr fontId="17" type="noConversion"/>
  </si>
  <si>
    <r>
      <t>기능</t>
    </r>
    <r>
      <rPr>
        <sz val="11"/>
        <color theme="1"/>
        <rFont val="돋움"/>
        <family val="3"/>
        <charset val="129"/>
      </rPr>
      <t xml:space="preserve"> 기능을 끊어서 하나씩</t>
    </r>
    <phoneticPr fontId="17" type="noConversion"/>
  </si>
  <si>
    <t>commit 하나씩</t>
    <phoneticPr fontId="17" type="noConversion"/>
  </si>
  <si>
    <t>한 단계씩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</si>
</sst>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9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sz val="10"/>
      <color rgb="FF222222"/>
      <name val="돋움"/>
      <family val="2"/>
      <charset val="129"/>
    </font>
    <font>
      <sz val="11"/>
      <color theme="1"/>
      <name val="돋움"/>
      <family val="2"/>
      <charset val="129"/>
    </font>
    <font>
      <sz val="11"/>
      <color rgb="FF3F4350"/>
      <name val="Arial"/>
      <family val="2"/>
    </font>
    <font>
      <sz val="11"/>
      <color rgb="FF3F4350"/>
      <name val="맑은 고딕"/>
      <family val="3"/>
      <charset val="129"/>
    </font>
    <font>
      <sz val="11"/>
      <color rgb="FF3F4350"/>
      <name val="Arial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1" fillId="0" borderId="2" xfId="0" applyFont="1" applyBorder="1" applyAlignment="1">
      <alignment horizontal="left" vertical="center" wrapText="1"/>
    </xf>
    <xf numFmtId="0" fontId="42" fillId="0" borderId="0" xfId="0" applyFont="1"/>
    <xf numFmtId="0" fontId="45" fillId="0" borderId="0" xfId="0" applyFont="1" applyAlignment="1">
      <alignment horizontal="left" vertical="center"/>
    </xf>
    <xf numFmtId="0" fontId="0" fillId="0" borderId="0" xfId="0" applyAlignment="1">
      <alignment vertical="center" wrapText="1" readingOrder="1"/>
    </xf>
    <xf numFmtId="14" fontId="3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48" fillId="0" borderId="2" xfId="0" applyFont="1" applyBorder="1" applyAlignment="1">
      <alignment horizontal="left" wrapText="1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41" fillId="0" borderId="2" xfId="0" applyFont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0" fillId="17" borderId="0" xfId="0" applyFill="1" applyAlignment="1">
      <alignment vertical="center" wrapText="1"/>
    </xf>
  </cellXfs>
  <cellStyles count="1">
    <cellStyle name="표준" xfId="0" builtinId="0"/>
  </cellStyles>
  <dxfs count="3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43" t="s">
        <v>110</v>
      </c>
      <c r="C2" s="43"/>
    </row>
    <row r="4" spans="2:3" ht="19.5" customHeight="1">
      <c r="B4" s="13" t="s">
        <v>111</v>
      </c>
      <c r="C4" s="14" t="s">
        <v>112</v>
      </c>
    </row>
    <row r="5" spans="2:3" ht="36.950000000000003" customHeight="1">
      <c r="B5" s="1" t="s">
        <v>0</v>
      </c>
      <c r="C5" s="14" t="s">
        <v>113</v>
      </c>
    </row>
    <row r="6" spans="2:3" ht="19.5" customHeight="1">
      <c r="B6" s="1" t="s">
        <v>1</v>
      </c>
      <c r="C6" s="3" t="s">
        <v>114</v>
      </c>
    </row>
    <row r="7" spans="2:3" ht="19.5" customHeight="1">
      <c r="B7" s="1" t="s">
        <v>2</v>
      </c>
      <c r="C7" s="3" t="s">
        <v>115</v>
      </c>
    </row>
    <row r="9" spans="2:3" ht="15" customHeight="1">
      <c r="B9" s="39" t="s">
        <v>116</v>
      </c>
      <c r="C9" s="40"/>
    </row>
    <row r="10" spans="2:3" ht="27">
      <c r="B10" s="4" t="s">
        <v>3</v>
      </c>
      <c r="C10" s="14" t="s">
        <v>117</v>
      </c>
    </row>
    <row r="11" spans="2:3" ht="40.5">
      <c r="B11" s="4" t="s">
        <v>118</v>
      </c>
      <c r="C11" s="14" t="s">
        <v>119</v>
      </c>
    </row>
    <row r="12" spans="2:3" ht="33.75" customHeight="1">
      <c r="B12" s="4" t="s">
        <v>120</v>
      </c>
      <c r="C12" s="2" t="s">
        <v>121</v>
      </c>
    </row>
    <row r="13" spans="2:3" ht="33.75" customHeight="1">
      <c r="B13" s="4" t="s">
        <v>122</v>
      </c>
      <c r="C13" s="3" t="s">
        <v>123</v>
      </c>
    </row>
    <row r="14" spans="2:3" ht="33.75" customHeight="1">
      <c r="B14" s="4" t="s">
        <v>124</v>
      </c>
      <c r="C14" s="2" t="s">
        <v>125</v>
      </c>
    </row>
    <row r="15" spans="2:3" ht="33.75" customHeight="1">
      <c r="B15" s="4" t="s">
        <v>4</v>
      </c>
      <c r="C15" s="14" t="s">
        <v>126</v>
      </c>
    </row>
    <row r="17" spans="2:3" ht="15" customHeight="1">
      <c r="B17" s="41" t="s">
        <v>5</v>
      </c>
      <c r="C17" s="42"/>
    </row>
    <row r="18" spans="2:3" ht="27.75" customHeight="1">
      <c r="B18" s="44" t="s">
        <v>127</v>
      </c>
      <c r="C18" s="45"/>
    </row>
    <row r="19" spans="2:3" ht="27.75" customHeight="1">
      <c r="B19" s="37" t="s">
        <v>7</v>
      </c>
      <c r="C19" s="38"/>
    </row>
    <row r="20" spans="2:3" ht="27.75" customHeight="1">
      <c r="B20" s="37" t="s">
        <v>8</v>
      </c>
      <c r="C20" s="38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="70" zoomScaleNormal="70" workbookViewId="0">
      <selection activeCell="D5" sqref="D5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48" t="s">
        <v>9</v>
      </c>
      <c r="C2" s="49"/>
      <c r="D2" s="49"/>
      <c r="E2" s="49"/>
      <c r="F2" s="49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2" t="s">
        <v>144</v>
      </c>
      <c r="C5" s="23" t="s">
        <v>15</v>
      </c>
      <c r="D5" s="14" t="s">
        <v>141</v>
      </c>
      <c r="E5" s="24" t="s">
        <v>142</v>
      </c>
      <c r="F5" s="23" t="s">
        <v>16</v>
      </c>
    </row>
    <row r="6" spans="2:10" ht="129.75" customHeight="1">
      <c r="B6" s="22" t="s">
        <v>145</v>
      </c>
      <c r="C6" s="23" t="s">
        <v>17</v>
      </c>
      <c r="D6" s="14" t="s">
        <v>149</v>
      </c>
      <c r="E6" s="23" t="s">
        <v>18</v>
      </c>
      <c r="F6" s="23" t="s">
        <v>19</v>
      </c>
    </row>
    <row r="7" spans="2:10" ht="129.75" customHeight="1">
      <c r="B7" s="22" t="s">
        <v>20</v>
      </c>
      <c r="C7" s="5" t="s">
        <v>21</v>
      </c>
      <c r="D7" s="21" t="s">
        <v>147</v>
      </c>
      <c r="E7" s="5" t="s">
        <v>22</v>
      </c>
      <c r="F7" s="5" t="s">
        <v>23</v>
      </c>
      <c r="J7" s="26" t="s">
        <v>148</v>
      </c>
    </row>
    <row r="8" spans="2:10" ht="129.75" customHeight="1">
      <c r="B8" s="25" t="s">
        <v>146</v>
      </c>
      <c r="C8" s="5" t="s">
        <v>24</v>
      </c>
      <c r="D8" s="14" t="s">
        <v>143</v>
      </c>
      <c r="E8" s="23" t="s">
        <v>25</v>
      </c>
      <c r="F8" s="5" t="s">
        <v>26</v>
      </c>
    </row>
    <row r="9" spans="2:10" ht="14.1" customHeight="1"/>
    <row r="10" spans="2:10" ht="15" customHeight="1">
      <c r="B10" s="50" t="s">
        <v>128</v>
      </c>
      <c r="C10" s="47"/>
      <c r="D10" s="47"/>
      <c r="E10" s="47"/>
      <c r="F10" s="40"/>
    </row>
    <row r="11" spans="2:10" ht="24" customHeight="1">
      <c r="B11" s="5" t="s">
        <v>6</v>
      </c>
      <c r="C11" s="46" t="s">
        <v>129</v>
      </c>
      <c r="D11" s="47"/>
      <c r="E11" s="47"/>
      <c r="F11" s="47"/>
    </row>
    <row r="12" spans="2:10" ht="24" customHeight="1">
      <c r="B12" s="5" t="s">
        <v>6</v>
      </c>
      <c r="C12" s="46" t="s">
        <v>130</v>
      </c>
      <c r="D12" s="47"/>
      <c r="E12" s="47"/>
      <c r="F12" s="47"/>
    </row>
    <row r="13" spans="2:10" ht="24" customHeight="1">
      <c r="B13" s="5" t="s">
        <v>6</v>
      </c>
      <c r="C13" s="46" t="s">
        <v>131</v>
      </c>
      <c r="D13" s="47"/>
      <c r="E13" s="47"/>
      <c r="F13" s="47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51"/>
  <sheetViews>
    <sheetView showGridLines="0" tabSelected="1" topLeftCell="A13" zoomScale="70" zoomScaleNormal="70" workbookViewId="0">
      <selection activeCell="O18" sqref="O18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61.28515625" customWidth="1"/>
    <col min="5" max="5" width="20" customWidth="1"/>
    <col min="6" max="6" width="24" customWidth="1"/>
  </cols>
  <sheetData>
    <row r="2" spans="2:6" ht="30" customHeight="1">
      <c r="B2" s="51" t="s">
        <v>27</v>
      </c>
      <c r="C2" s="49"/>
      <c r="D2" s="49"/>
      <c r="E2" s="49"/>
      <c r="F2" s="49"/>
    </row>
    <row r="3" spans="2:6" ht="28.35" customHeight="1">
      <c r="B3" s="52" t="s">
        <v>140</v>
      </c>
      <c r="C3" s="47"/>
      <c r="D3" s="47"/>
      <c r="E3" s="47"/>
      <c r="F3" s="40"/>
    </row>
    <row r="4" spans="2:6" ht="35.65" customHeight="1">
      <c r="B4" s="8" t="s">
        <v>28</v>
      </c>
      <c r="C4" s="8" t="s">
        <v>29</v>
      </c>
      <c r="D4" s="8" t="s">
        <v>30</v>
      </c>
      <c r="E4" s="15" t="s">
        <v>132</v>
      </c>
      <c r="F4" s="8" t="s">
        <v>31</v>
      </c>
    </row>
    <row r="5" spans="2:6" ht="15" customHeight="1">
      <c r="B5" s="9" t="s">
        <v>32</v>
      </c>
      <c r="C5" s="9"/>
      <c r="D5" s="9"/>
      <c r="E5" s="9"/>
      <c r="F5" s="9"/>
    </row>
    <row r="6" spans="2:6" ht="30" customHeight="1">
      <c r="B6" s="86" t="s">
        <v>150</v>
      </c>
      <c r="C6" s="86" t="s">
        <v>151</v>
      </c>
      <c r="D6" s="86" t="s">
        <v>152</v>
      </c>
      <c r="E6" s="86" t="s">
        <v>153</v>
      </c>
      <c r="F6" s="86" t="s">
        <v>154</v>
      </c>
    </row>
    <row r="7" spans="2:6" ht="30" customHeight="1">
      <c r="B7" s="31" t="s">
        <v>150</v>
      </c>
      <c r="C7" s="31" t="s">
        <v>155</v>
      </c>
      <c r="D7" s="31" t="s">
        <v>156</v>
      </c>
      <c r="E7" s="31" t="s">
        <v>157</v>
      </c>
      <c r="F7" s="31" t="s">
        <v>158</v>
      </c>
    </row>
    <row r="8" spans="2:6" ht="30" customHeight="1">
      <c r="B8" s="31" t="s">
        <v>159</v>
      </c>
      <c r="C8" s="31" t="s">
        <v>160</v>
      </c>
      <c r="D8" s="31" t="s">
        <v>161</v>
      </c>
      <c r="E8" s="31" t="s">
        <v>162</v>
      </c>
      <c r="F8" s="31" t="s">
        <v>163</v>
      </c>
    </row>
    <row r="9" spans="2:6" ht="30" customHeight="1">
      <c r="B9" s="31" t="s">
        <v>159</v>
      </c>
      <c r="C9" s="31" t="s">
        <v>164</v>
      </c>
      <c r="D9" s="31" t="s">
        <v>165</v>
      </c>
      <c r="E9" s="31" t="s">
        <v>153</v>
      </c>
      <c r="F9" s="31" t="s">
        <v>166</v>
      </c>
    </row>
    <row r="10" spans="2:6" ht="30" customHeight="1">
      <c r="B10" s="31" t="s">
        <v>159</v>
      </c>
      <c r="C10" s="31" t="s">
        <v>167</v>
      </c>
      <c r="D10" s="31" t="s">
        <v>168</v>
      </c>
      <c r="E10" s="31" t="s">
        <v>169</v>
      </c>
      <c r="F10" s="31" t="s">
        <v>170</v>
      </c>
    </row>
    <row r="11" spans="2:6" ht="30" customHeight="1">
      <c r="B11" s="31" t="s">
        <v>150</v>
      </c>
      <c r="C11" s="31" t="s">
        <v>171</v>
      </c>
      <c r="D11" s="31" t="s">
        <v>172</v>
      </c>
      <c r="E11" s="31" t="s">
        <v>173</v>
      </c>
      <c r="F11" s="31" t="s">
        <v>174</v>
      </c>
    </row>
    <row r="12" spans="2:6" ht="30" customHeight="1">
      <c r="B12" s="31" t="s">
        <v>150</v>
      </c>
      <c r="C12" s="31" t="s">
        <v>175</v>
      </c>
      <c r="D12" s="31" t="s">
        <v>176</v>
      </c>
      <c r="E12" s="31" t="s">
        <v>177</v>
      </c>
      <c r="F12" s="31" t="s">
        <v>178</v>
      </c>
    </row>
    <row r="13" spans="2:6" ht="30" customHeight="1">
      <c r="B13" s="31" t="s">
        <v>159</v>
      </c>
      <c r="C13" s="31" t="s">
        <v>179</v>
      </c>
      <c r="D13" s="31" t="s">
        <v>180</v>
      </c>
      <c r="E13" s="31" t="s">
        <v>177</v>
      </c>
      <c r="F13" s="31" t="s">
        <v>181</v>
      </c>
    </row>
    <row r="14" spans="2:6" ht="30" customHeight="1">
      <c r="B14" s="31" t="s">
        <v>150</v>
      </c>
      <c r="C14" s="31" t="s">
        <v>182</v>
      </c>
      <c r="D14" s="31" t="s">
        <v>183</v>
      </c>
      <c r="E14" s="31" t="s">
        <v>184</v>
      </c>
      <c r="F14" s="31" t="s">
        <v>185</v>
      </c>
    </row>
    <row r="15" spans="2:6" ht="30" customHeight="1">
      <c r="B15" s="31" t="s">
        <v>150</v>
      </c>
      <c r="C15" s="31" t="s">
        <v>186</v>
      </c>
      <c r="D15" s="31" t="s">
        <v>187</v>
      </c>
      <c r="E15" s="31" t="s">
        <v>184</v>
      </c>
      <c r="F15" s="31" t="s">
        <v>188</v>
      </c>
    </row>
    <row r="16" spans="2:6" ht="30" customHeight="1">
      <c r="B16" s="31" t="s">
        <v>159</v>
      </c>
      <c r="C16" s="31" t="s">
        <v>189</v>
      </c>
      <c r="D16" s="31" t="s">
        <v>190</v>
      </c>
      <c r="E16" s="31" t="s">
        <v>184</v>
      </c>
      <c r="F16" s="31" t="s">
        <v>191</v>
      </c>
    </row>
    <row r="17" spans="2:6" ht="30" customHeight="1">
      <c r="B17" s="31" t="s">
        <v>159</v>
      </c>
      <c r="C17" s="31" t="s">
        <v>192</v>
      </c>
      <c r="D17" s="31" t="s">
        <v>193</v>
      </c>
      <c r="E17" s="31" t="s">
        <v>184</v>
      </c>
      <c r="F17" s="31" t="s">
        <v>194</v>
      </c>
    </row>
    <row r="18" spans="2:6" ht="30" customHeight="1">
      <c r="B18" s="31" t="s">
        <v>150</v>
      </c>
      <c r="C18" s="31" t="s">
        <v>195</v>
      </c>
      <c r="D18" s="31" t="s">
        <v>196</v>
      </c>
      <c r="E18" s="31" t="s">
        <v>197</v>
      </c>
      <c r="F18" s="31" t="s">
        <v>198</v>
      </c>
    </row>
    <row r="19" spans="2:6" ht="30" customHeight="1">
      <c r="B19" s="31" t="s">
        <v>150</v>
      </c>
      <c r="C19" s="31" t="s">
        <v>199</v>
      </c>
      <c r="D19" s="31" t="s">
        <v>200</v>
      </c>
      <c r="E19" s="31" t="s">
        <v>201</v>
      </c>
      <c r="F19" s="31" t="s">
        <v>202</v>
      </c>
    </row>
    <row r="20" spans="2:6" ht="30" customHeight="1">
      <c r="B20" s="31" t="s">
        <v>150</v>
      </c>
      <c r="C20" s="31" t="s">
        <v>203</v>
      </c>
      <c r="D20" s="31" t="s">
        <v>204</v>
      </c>
      <c r="E20" s="31" t="s">
        <v>201</v>
      </c>
      <c r="F20" s="31" t="s">
        <v>205</v>
      </c>
    </row>
    <row r="21" spans="2:6" ht="30" customHeight="1">
      <c r="B21" s="31" t="s">
        <v>159</v>
      </c>
      <c r="C21" s="31" t="s">
        <v>206</v>
      </c>
      <c r="D21" s="31" t="s">
        <v>207</v>
      </c>
      <c r="E21" s="31" t="s">
        <v>201</v>
      </c>
      <c r="F21" s="31" t="s">
        <v>208</v>
      </c>
    </row>
    <row r="22" spans="2:6" ht="30" customHeight="1">
      <c r="B22" s="31" t="s">
        <v>159</v>
      </c>
      <c r="C22" s="31" t="s">
        <v>209</v>
      </c>
      <c r="D22" s="31" t="s">
        <v>210</v>
      </c>
      <c r="E22" s="31" t="s">
        <v>201</v>
      </c>
      <c r="F22" s="31" t="s">
        <v>211</v>
      </c>
    </row>
    <row r="23" spans="2:6" ht="30" customHeight="1">
      <c r="B23" s="31" t="s">
        <v>150</v>
      </c>
      <c r="C23" s="31" t="s">
        <v>212</v>
      </c>
      <c r="D23" s="31" t="s">
        <v>213</v>
      </c>
      <c r="E23" s="31" t="s">
        <v>201</v>
      </c>
      <c r="F23" s="31" t="s">
        <v>214</v>
      </c>
    </row>
    <row r="24" spans="2:6" ht="30" customHeight="1">
      <c r="B24" s="31" t="s">
        <v>150</v>
      </c>
      <c r="C24" s="31" t="s">
        <v>215</v>
      </c>
      <c r="D24" s="31" t="s">
        <v>216</v>
      </c>
      <c r="E24" s="31" t="s">
        <v>217</v>
      </c>
      <c r="F24" s="31" t="s">
        <v>218</v>
      </c>
    </row>
    <row r="25" spans="2:6" ht="30" customHeight="1">
      <c r="B25" s="31" t="s">
        <v>150</v>
      </c>
      <c r="C25" s="31" t="s">
        <v>219</v>
      </c>
      <c r="D25" s="31" t="s">
        <v>220</v>
      </c>
      <c r="E25" s="31" t="s">
        <v>217</v>
      </c>
      <c r="F25" s="31" t="s">
        <v>221</v>
      </c>
    </row>
    <row r="26" spans="2:6" ht="30" customHeight="1">
      <c r="B26" s="31" t="s">
        <v>150</v>
      </c>
      <c r="C26" s="31" t="s">
        <v>222</v>
      </c>
      <c r="D26" s="31" t="s">
        <v>223</v>
      </c>
      <c r="E26" s="31" t="s">
        <v>224</v>
      </c>
      <c r="F26" s="31" t="s">
        <v>225</v>
      </c>
    </row>
    <row r="27" spans="2:6" ht="30" customHeight="1">
      <c r="B27" s="31" t="s">
        <v>150</v>
      </c>
      <c r="C27" s="31" t="s">
        <v>226</v>
      </c>
      <c r="D27" s="31" t="s">
        <v>227</v>
      </c>
      <c r="E27" s="31" t="s">
        <v>228</v>
      </c>
      <c r="F27" s="31" t="s">
        <v>229</v>
      </c>
    </row>
    <row r="28" spans="2:6" ht="30" customHeight="1">
      <c r="B28" s="31" t="s">
        <v>150</v>
      </c>
      <c r="C28" s="31" t="s">
        <v>61</v>
      </c>
      <c r="D28" s="31" t="s">
        <v>230</v>
      </c>
      <c r="E28" s="31" t="s">
        <v>231</v>
      </c>
      <c r="F28" s="31" t="s">
        <v>232</v>
      </c>
    </row>
    <row r="29" spans="2:6" ht="30" customHeight="1">
      <c r="B29" s="31" t="s">
        <v>150</v>
      </c>
      <c r="C29" s="31" t="s">
        <v>233</v>
      </c>
      <c r="D29" s="31" t="s">
        <v>234</v>
      </c>
      <c r="E29" s="31" t="s">
        <v>235</v>
      </c>
      <c r="F29" s="31" t="s">
        <v>236</v>
      </c>
    </row>
    <row r="30" spans="2:6" ht="30" customHeight="1">
      <c r="B30" s="31" t="s">
        <v>159</v>
      </c>
      <c r="C30" s="31" t="s">
        <v>237</v>
      </c>
      <c r="D30" s="31" t="s">
        <v>238</v>
      </c>
      <c r="E30" s="31" t="s">
        <v>239</v>
      </c>
      <c r="F30" s="31" t="s">
        <v>240</v>
      </c>
    </row>
    <row r="31" spans="2:6" ht="30" customHeight="1">
      <c r="B31" s="31" t="s">
        <v>159</v>
      </c>
      <c r="C31" s="31" t="s">
        <v>241</v>
      </c>
      <c r="D31" s="31" t="s">
        <v>242</v>
      </c>
      <c r="E31" s="31" t="s">
        <v>243</v>
      </c>
      <c r="F31" s="31" t="s">
        <v>244</v>
      </c>
    </row>
    <row r="32" spans="2:6" ht="30" customHeight="1">
      <c r="B32" s="31" t="s">
        <v>150</v>
      </c>
      <c r="C32" s="31" t="s">
        <v>245</v>
      </c>
      <c r="D32" s="31" t="s">
        <v>246</v>
      </c>
      <c r="E32" s="31" t="s">
        <v>247</v>
      </c>
      <c r="F32" s="31" t="s">
        <v>248</v>
      </c>
    </row>
    <row r="33" spans="2:6" ht="30" customHeight="1">
      <c r="B33" s="31" t="s">
        <v>159</v>
      </c>
      <c r="C33" s="31" t="s">
        <v>249</v>
      </c>
      <c r="D33" s="31" t="s">
        <v>250</v>
      </c>
      <c r="E33" s="31" t="s">
        <v>247</v>
      </c>
      <c r="F33" s="31" t="s">
        <v>251</v>
      </c>
    </row>
    <row r="34" spans="2:6" ht="30" customHeight="1">
      <c r="B34" s="31" t="s">
        <v>150</v>
      </c>
      <c r="C34" s="31" t="s">
        <v>252</v>
      </c>
      <c r="D34" s="31" t="s">
        <v>253</v>
      </c>
      <c r="E34" s="31" t="s">
        <v>247</v>
      </c>
      <c r="F34" s="31" t="s">
        <v>254</v>
      </c>
    </row>
    <row r="35" spans="2:6" ht="30" customHeight="1">
      <c r="B35" s="31" t="s">
        <v>150</v>
      </c>
      <c r="C35" s="31" t="s">
        <v>255</v>
      </c>
      <c r="D35" s="31" t="s">
        <v>256</v>
      </c>
      <c r="E35" s="31" t="s">
        <v>247</v>
      </c>
      <c r="F35" s="31" t="s">
        <v>257</v>
      </c>
    </row>
    <row r="36" spans="2:6" ht="30" customHeight="1">
      <c r="B36" s="31" t="s">
        <v>150</v>
      </c>
      <c r="C36" s="31" t="s">
        <v>258</v>
      </c>
      <c r="D36" s="31" t="s">
        <v>259</v>
      </c>
      <c r="E36" s="31" t="s">
        <v>247</v>
      </c>
      <c r="F36" s="31" t="s">
        <v>260</v>
      </c>
    </row>
    <row r="37" spans="2:6" ht="30" customHeight="1">
      <c r="B37" s="31" t="s">
        <v>261</v>
      </c>
      <c r="C37" s="31" t="s">
        <v>262</v>
      </c>
      <c r="D37" s="31" t="s">
        <v>263</v>
      </c>
      <c r="E37" s="31" t="s">
        <v>264</v>
      </c>
      <c r="F37" s="31" t="s">
        <v>265</v>
      </c>
    </row>
    <row r="38" spans="2:6" ht="30" customHeight="1">
      <c r="B38" s="31" t="s">
        <v>261</v>
      </c>
      <c r="C38" s="31" t="s">
        <v>266</v>
      </c>
      <c r="D38" s="31" t="s">
        <v>267</v>
      </c>
      <c r="E38" s="31" t="s">
        <v>264</v>
      </c>
      <c r="F38" s="31" t="s">
        <v>268</v>
      </c>
    </row>
    <row r="39" spans="2:6" ht="30" customHeight="1">
      <c r="B39" s="31" t="s">
        <v>261</v>
      </c>
      <c r="C39" s="31" t="s">
        <v>269</v>
      </c>
      <c r="D39" s="31" t="s">
        <v>270</v>
      </c>
      <c r="E39" s="31" t="s">
        <v>264</v>
      </c>
      <c r="F39" s="31" t="s">
        <v>271</v>
      </c>
    </row>
    <row r="40" spans="2:6" ht="30" customHeight="1">
      <c r="B40" s="31" t="s">
        <v>261</v>
      </c>
      <c r="C40" s="31" t="s">
        <v>272</v>
      </c>
      <c r="D40" s="31" t="s">
        <v>273</v>
      </c>
      <c r="E40" s="31" t="s">
        <v>264</v>
      </c>
      <c r="F40" s="31" t="s">
        <v>274</v>
      </c>
    </row>
    <row r="41" spans="2:6" ht="30" customHeight="1">
      <c r="B41" s="31" t="s">
        <v>261</v>
      </c>
      <c r="C41" s="31" t="s">
        <v>275</v>
      </c>
      <c r="D41" s="31" t="s">
        <v>276</v>
      </c>
      <c r="E41" s="31" t="s">
        <v>264</v>
      </c>
      <c r="F41" s="31" t="s">
        <v>277</v>
      </c>
    </row>
    <row r="42" spans="2:6" ht="30" customHeight="1">
      <c r="B42" s="31" t="s">
        <v>261</v>
      </c>
      <c r="C42" s="31" t="s">
        <v>278</v>
      </c>
      <c r="D42" s="31" t="s">
        <v>279</v>
      </c>
      <c r="E42" s="31" t="s">
        <v>264</v>
      </c>
      <c r="F42" s="31" t="s">
        <v>280</v>
      </c>
    </row>
    <row r="43" spans="2:6" ht="30" customHeight="1">
      <c r="B43" s="31" t="s">
        <v>261</v>
      </c>
      <c r="C43" s="31" t="s">
        <v>281</v>
      </c>
      <c r="D43" s="31" t="s">
        <v>282</v>
      </c>
      <c r="E43" s="31" t="s">
        <v>264</v>
      </c>
      <c r="F43" s="31" t="s">
        <v>283</v>
      </c>
    </row>
    <row r="44" spans="2:6" ht="30" customHeight="1">
      <c r="B44" s="31" t="s">
        <v>261</v>
      </c>
      <c r="C44" s="31" t="s">
        <v>284</v>
      </c>
      <c r="D44" s="31" t="s">
        <v>285</v>
      </c>
      <c r="E44" s="31" t="s">
        <v>264</v>
      </c>
      <c r="F44" s="31" t="s">
        <v>286</v>
      </c>
    </row>
    <row r="45" spans="2:6" ht="30" customHeight="1">
      <c r="B45" s="31" t="s">
        <v>261</v>
      </c>
      <c r="C45" s="31" t="s">
        <v>287</v>
      </c>
      <c r="D45" s="31" t="s">
        <v>288</v>
      </c>
      <c r="E45" s="31" t="s">
        <v>264</v>
      </c>
      <c r="F45" s="31" t="s">
        <v>289</v>
      </c>
    </row>
    <row r="46" spans="2:6" ht="30" customHeight="1">
      <c r="B46" s="31" t="s">
        <v>159</v>
      </c>
      <c r="C46" s="31" t="s">
        <v>290</v>
      </c>
      <c r="D46" s="31" t="s">
        <v>291</v>
      </c>
      <c r="E46" s="31" t="s">
        <v>264</v>
      </c>
      <c r="F46" s="31" t="s">
        <v>292</v>
      </c>
    </row>
    <row r="47" spans="2:6" ht="30" customHeight="1">
      <c r="B47" s="31" t="s">
        <v>159</v>
      </c>
      <c r="C47" s="31" t="s">
        <v>293</v>
      </c>
      <c r="D47" s="31" t="s">
        <v>294</v>
      </c>
      <c r="E47" s="31" t="s">
        <v>295</v>
      </c>
      <c r="F47" s="31" t="s">
        <v>296</v>
      </c>
    </row>
    <row r="48" spans="2:6" ht="30" customHeight="1">
      <c r="B48" s="31" t="s">
        <v>159</v>
      </c>
      <c r="C48" s="31" t="s">
        <v>297</v>
      </c>
      <c r="D48" s="31" t="s">
        <v>298</v>
      </c>
      <c r="E48" s="31" t="s">
        <v>153</v>
      </c>
      <c r="F48" s="31" t="s">
        <v>299</v>
      </c>
    </row>
    <row r="49" spans="2:6" ht="30" customHeight="1">
      <c r="B49" s="31" t="s">
        <v>159</v>
      </c>
      <c r="C49" s="31" t="s">
        <v>300</v>
      </c>
      <c r="D49" s="31" t="s">
        <v>301</v>
      </c>
      <c r="E49" s="31" t="s">
        <v>302</v>
      </c>
      <c r="F49" s="31" t="s">
        <v>303</v>
      </c>
    </row>
    <row r="50" spans="2:6" ht="30" customHeight="1">
      <c r="B50" s="31" t="s">
        <v>159</v>
      </c>
      <c r="C50" s="31" t="s">
        <v>304</v>
      </c>
      <c r="D50" s="31" t="s">
        <v>305</v>
      </c>
      <c r="E50" s="31" t="s">
        <v>306</v>
      </c>
      <c r="F50" s="31" t="s">
        <v>307</v>
      </c>
    </row>
    <row r="51" spans="2:6" ht="30" customHeight="1">
      <c r="B51" s="31" t="s">
        <v>150</v>
      </c>
      <c r="C51" s="31" t="s">
        <v>308</v>
      </c>
      <c r="D51" s="31" t="s">
        <v>309</v>
      </c>
      <c r="E51" s="31" t="s">
        <v>310</v>
      </c>
      <c r="F51" s="31" t="s">
        <v>311</v>
      </c>
    </row>
  </sheetData>
  <mergeCells count="2">
    <mergeCell ref="B2:F2"/>
    <mergeCell ref="B3:F3"/>
  </mergeCells>
  <phoneticPr fontId="17" type="noConversion"/>
  <dataValidations count="1">
    <dataValidation type="list" allowBlank="1" sqref="B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P19"/>
  <sheetViews>
    <sheetView showGridLines="0" topLeftCell="B10" zoomScale="115" zoomScaleNormal="115" workbookViewId="0">
      <selection activeCell="K3" sqref="K3:P3"/>
    </sheetView>
  </sheetViews>
  <sheetFormatPr defaultColWidth="8.7109375" defaultRowHeight="15"/>
  <cols>
    <col min="1" max="1" width="4" customWidth="1"/>
    <col min="2" max="2" width="33.7109375" customWidth="1"/>
    <col min="3" max="3" width="56.5703125" customWidth="1"/>
    <col min="4" max="6" width="12" customWidth="1"/>
    <col min="7" max="7" width="14" customWidth="1"/>
    <col min="8" max="8" width="12" customWidth="1"/>
    <col min="10" max="10" width="10.7109375" customWidth="1"/>
  </cols>
  <sheetData>
    <row r="2" spans="2:16" ht="30" customHeight="1">
      <c r="B2" s="48" t="s">
        <v>33</v>
      </c>
      <c r="C2" s="49"/>
      <c r="D2" s="49"/>
      <c r="E2" s="49"/>
      <c r="F2" s="49"/>
      <c r="G2" s="49"/>
      <c r="H2" s="49"/>
    </row>
    <row r="3" spans="2:16" ht="72.400000000000006" customHeight="1">
      <c r="B3" s="53" t="s">
        <v>134</v>
      </c>
      <c r="C3" s="47"/>
      <c r="D3" s="47"/>
      <c r="E3" s="47"/>
      <c r="F3" s="47"/>
      <c r="G3" s="47"/>
      <c r="H3" s="40"/>
      <c r="J3" s="16" t="s">
        <v>133</v>
      </c>
      <c r="K3" s="55" t="s">
        <v>385</v>
      </c>
      <c r="L3" s="56"/>
      <c r="M3" s="56"/>
      <c r="N3" s="56"/>
      <c r="O3" s="56"/>
      <c r="P3" s="57"/>
    </row>
    <row r="4" spans="2:16" ht="18" customHeight="1">
      <c r="B4" s="54" t="s">
        <v>34</v>
      </c>
      <c r="C4" s="47"/>
      <c r="D4" s="47"/>
      <c r="E4" s="47"/>
      <c r="F4" s="47"/>
      <c r="G4" s="47"/>
      <c r="H4" s="40"/>
    </row>
    <row r="5" spans="2:16" ht="31.5" customHeight="1">
      <c r="B5" s="10" t="s">
        <v>35</v>
      </c>
      <c r="C5" s="10" t="s">
        <v>36</v>
      </c>
      <c r="D5" s="17" t="s">
        <v>37</v>
      </c>
      <c r="E5" s="11" t="s">
        <v>38</v>
      </c>
      <c r="F5" s="11" t="s">
        <v>39</v>
      </c>
      <c r="G5" s="10" t="s">
        <v>40</v>
      </c>
      <c r="H5" s="11" t="s">
        <v>41</v>
      </c>
    </row>
    <row r="6" spans="2:16" ht="24.95" customHeight="1">
      <c r="B6" s="31" t="s">
        <v>262</v>
      </c>
      <c r="C6" s="31" t="s">
        <v>313</v>
      </c>
      <c r="D6" s="30">
        <v>3</v>
      </c>
      <c r="E6" s="30">
        <v>4</v>
      </c>
      <c r="F6" s="30">
        <v>5</v>
      </c>
      <c r="G6" s="5">
        <f t="shared" ref="G6:G13" si="0">IF(OR(E6="",F6=""),"",E6*F6*2)</f>
        <v>40</v>
      </c>
      <c r="H6" s="5" t="s">
        <v>336</v>
      </c>
    </row>
    <row r="7" spans="2:16" ht="24.95" customHeight="1">
      <c r="B7" s="31" t="s">
        <v>314</v>
      </c>
      <c r="C7" s="31" t="s">
        <v>315</v>
      </c>
      <c r="D7" s="30">
        <v>2</v>
      </c>
      <c r="E7" s="30">
        <v>5</v>
      </c>
      <c r="F7" s="30">
        <v>3.5</v>
      </c>
      <c r="G7" s="5">
        <f t="shared" si="0"/>
        <v>35</v>
      </c>
      <c r="H7" s="5" t="s">
        <v>336</v>
      </c>
    </row>
    <row r="8" spans="2:16" ht="24.95" customHeight="1">
      <c r="B8" s="31" t="s">
        <v>269</v>
      </c>
      <c r="C8" s="31" t="s">
        <v>316</v>
      </c>
      <c r="D8" s="30">
        <v>2</v>
      </c>
      <c r="E8" s="30">
        <v>5</v>
      </c>
      <c r="F8" s="30">
        <v>4</v>
      </c>
      <c r="G8" s="5">
        <f t="shared" si="0"/>
        <v>40</v>
      </c>
      <c r="H8" s="5" t="s">
        <v>335</v>
      </c>
    </row>
    <row r="9" spans="2:16" ht="24.95" customHeight="1">
      <c r="B9" s="31" t="s">
        <v>272</v>
      </c>
      <c r="C9" s="31" t="s">
        <v>317</v>
      </c>
      <c r="D9" s="30">
        <v>5</v>
      </c>
      <c r="E9" s="30">
        <v>1</v>
      </c>
      <c r="F9" s="30">
        <v>4</v>
      </c>
      <c r="G9" s="5">
        <f t="shared" si="0"/>
        <v>8</v>
      </c>
      <c r="H9" s="5" t="s">
        <v>337</v>
      </c>
    </row>
    <row r="10" spans="2:16" ht="24.95" customHeight="1">
      <c r="B10" s="31" t="s">
        <v>312</v>
      </c>
      <c r="C10" s="31" t="s">
        <v>318</v>
      </c>
      <c r="D10" s="30">
        <v>3</v>
      </c>
      <c r="E10" s="30">
        <v>4</v>
      </c>
      <c r="F10" s="30">
        <v>4</v>
      </c>
      <c r="G10" s="5">
        <f t="shared" si="0"/>
        <v>32</v>
      </c>
      <c r="H10" s="5" t="s">
        <v>337</v>
      </c>
    </row>
    <row r="11" spans="2:16" ht="24.95" customHeight="1">
      <c r="B11" s="31" t="s">
        <v>278</v>
      </c>
      <c r="C11" s="31" t="s">
        <v>319</v>
      </c>
      <c r="D11" s="30">
        <v>2</v>
      </c>
      <c r="E11" s="30">
        <v>4</v>
      </c>
      <c r="F11" s="30">
        <v>2.5</v>
      </c>
      <c r="G11" s="5">
        <f t="shared" si="0"/>
        <v>20</v>
      </c>
      <c r="H11" s="5" t="s">
        <v>337</v>
      </c>
    </row>
    <row r="12" spans="2:16" ht="24.95" customHeight="1">
      <c r="B12" s="31" t="s">
        <v>281</v>
      </c>
      <c r="C12" s="31" t="s">
        <v>320</v>
      </c>
      <c r="D12" s="30">
        <v>2</v>
      </c>
      <c r="E12" s="30">
        <v>5</v>
      </c>
      <c r="F12" s="30">
        <v>3</v>
      </c>
      <c r="G12" s="5">
        <f t="shared" si="0"/>
        <v>30</v>
      </c>
      <c r="H12" s="5" t="s">
        <v>337</v>
      </c>
    </row>
    <row r="13" spans="2:16" ht="24.95" customHeight="1">
      <c r="B13" s="31" t="s">
        <v>321</v>
      </c>
      <c r="C13" s="31" t="s">
        <v>322</v>
      </c>
      <c r="D13" s="30">
        <v>2</v>
      </c>
      <c r="E13" s="30">
        <v>5</v>
      </c>
      <c r="F13" s="30">
        <v>3.5</v>
      </c>
      <c r="G13" s="5">
        <f t="shared" si="0"/>
        <v>35</v>
      </c>
      <c r="H13" s="5" t="s">
        <v>337</v>
      </c>
    </row>
    <row r="14" spans="2:16" ht="24.95" customHeight="1">
      <c r="B14" s="31" t="s">
        <v>323</v>
      </c>
      <c r="C14" s="31" t="s">
        <v>324</v>
      </c>
      <c r="D14" s="30">
        <v>1</v>
      </c>
      <c r="E14" s="30">
        <v>5</v>
      </c>
      <c r="F14" s="30">
        <v>3</v>
      </c>
      <c r="G14" s="5">
        <f t="shared" ref="G14" si="1">IF(OR(E14="",F14=""),"",E14*F14*2)</f>
        <v>30</v>
      </c>
      <c r="H14" s="5" t="s">
        <v>337</v>
      </c>
    </row>
    <row r="15" spans="2:16" ht="24.95" customHeight="1">
      <c r="B15" s="31" t="s">
        <v>325</v>
      </c>
      <c r="C15" s="31" t="s">
        <v>326</v>
      </c>
      <c r="D15" s="30">
        <v>1</v>
      </c>
      <c r="E15" s="30">
        <v>5</v>
      </c>
      <c r="F15" s="30">
        <v>4</v>
      </c>
      <c r="G15" s="5">
        <f t="shared" ref="G15:G19" si="2">IF(OR(E15="",F15=""),"",E15*F15*2)</f>
        <v>40</v>
      </c>
      <c r="H15" s="5" t="s">
        <v>335</v>
      </c>
    </row>
    <row r="16" spans="2:16" ht="24.95" customHeight="1">
      <c r="B16" s="31" t="s">
        <v>327</v>
      </c>
      <c r="C16" s="31" t="s">
        <v>328</v>
      </c>
      <c r="D16" s="30">
        <v>2</v>
      </c>
      <c r="E16" s="30">
        <v>5</v>
      </c>
      <c r="F16" s="30">
        <v>3.5</v>
      </c>
      <c r="G16" s="5">
        <f t="shared" si="2"/>
        <v>35</v>
      </c>
      <c r="H16" s="5" t="s">
        <v>337</v>
      </c>
    </row>
    <row r="17" spans="2:8" ht="24.95" customHeight="1">
      <c r="B17" s="31" t="s">
        <v>329</v>
      </c>
      <c r="C17" s="31" t="s">
        <v>330</v>
      </c>
      <c r="D17" s="30">
        <v>2</v>
      </c>
      <c r="E17" s="30">
        <v>5</v>
      </c>
      <c r="F17" s="30">
        <v>3.5</v>
      </c>
      <c r="G17" s="5">
        <f t="shared" si="2"/>
        <v>35</v>
      </c>
      <c r="H17" s="5" t="s">
        <v>337</v>
      </c>
    </row>
    <row r="18" spans="2:8" ht="24.95" customHeight="1">
      <c r="B18" s="31" t="s">
        <v>331</v>
      </c>
      <c r="C18" s="31" t="s">
        <v>332</v>
      </c>
      <c r="D18" s="30">
        <v>4</v>
      </c>
      <c r="E18" s="30">
        <v>2</v>
      </c>
      <c r="F18" s="30">
        <v>4</v>
      </c>
      <c r="G18" s="5">
        <f t="shared" si="2"/>
        <v>16</v>
      </c>
      <c r="H18" s="5" t="s">
        <v>337</v>
      </c>
    </row>
    <row r="19" spans="2:8" ht="24.95" customHeight="1">
      <c r="B19" s="31" t="s">
        <v>333</v>
      </c>
      <c r="C19" s="31" t="s">
        <v>334</v>
      </c>
      <c r="D19" s="30">
        <v>2</v>
      </c>
      <c r="E19" s="30">
        <v>4</v>
      </c>
      <c r="F19" s="30">
        <v>3</v>
      </c>
      <c r="G19" s="5">
        <f t="shared" si="2"/>
        <v>24</v>
      </c>
      <c r="H19" s="5" t="s">
        <v>337</v>
      </c>
    </row>
  </sheetData>
  <mergeCells count="4">
    <mergeCell ref="B3:H3"/>
    <mergeCell ref="B2:H2"/>
    <mergeCell ref="B4:H4"/>
    <mergeCell ref="K3:P3"/>
  </mergeCells>
  <phoneticPr fontId="17" type="noConversion"/>
  <conditionalFormatting sqref="G6:G13">
    <cfRule type="expression" dxfId="2" priority="3">
      <formula>AND(G6&lt;&gt;"",G6&gt;=32)</formula>
    </cfRule>
  </conditionalFormatting>
  <conditionalFormatting sqref="G14:G19">
    <cfRule type="expression" dxfId="1" priority="1">
      <formula>AND(G14&lt;&gt;"",G14&gt;=32)</formula>
    </cfRule>
  </conditionalFormatting>
  <dataValidations count="2">
    <dataValidation type="list" allowBlank="1" sqref="E6:F13" xr:uid="{00000000-0002-0000-0300-000000000000}">
      <formula1>"1,2,3,4,5"</formula1>
      <formula2>0</formula2>
    </dataValidation>
    <dataValidation type="list" allowBlank="1" sqref="H6:H19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2:C34"/>
  <sheetViews>
    <sheetView showGridLines="0" zoomScaleNormal="100" workbookViewId="0">
      <selection activeCell="I31" sqref="I31"/>
    </sheetView>
  </sheetViews>
  <sheetFormatPr defaultColWidth="8.7109375" defaultRowHeight="15"/>
  <cols>
    <col min="1" max="1" width="4" customWidth="1"/>
    <col min="2" max="2" width="24.42578125" customWidth="1"/>
    <col min="3" max="3" width="95.42578125" customWidth="1"/>
    <col min="4" max="4" width="4" customWidth="1"/>
  </cols>
  <sheetData>
    <row r="2" spans="2:3" ht="30" customHeight="1">
      <c r="B2" s="51" t="s">
        <v>42</v>
      </c>
      <c r="C2" s="49"/>
    </row>
    <row r="3" spans="2:3" ht="18" customHeight="1">
      <c r="B3" s="65" t="s">
        <v>43</v>
      </c>
      <c r="C3" s="40"/>
    </row>
    <row r="4" spans="2:3" ht="30" customHeight="1">
      <c r="B4" s="1" t="s">
        <v>44</v>
      </c>
      <c r="C4" s="14" t="s">
        <v>338</v>
      </c>
    </row>
    <row r="5" spans="2:3" ht="30" customHeight="1">
      <c r="B5" s="1" t="s">
        <v>45</v>
      </c>
      <c r="C5" s="34" t="s">
        <v>359</v>
      </c>
    </row>
    <row r="6" spans="2:3" ht="30" customHeight="1">
      <c r="B6" s="1" t="s">
        <v>46</v>
      </c>
      <c r="C6" s="14" t="s">
        <v>360</v>
      </c>
    </row>
    <row r="7" spans="2:3" ht="30" customHeight="1">
      <c r="B7" s="1" t="s">
        <v>47</v>
      </c>
      <c r="C7" s="2" t="s">
        <v>358</v>
      </c>
    </row>
    <row r="9" spans="2:3" ht="15" customHeight="1">
      <c r="B9" s="63" t="s">
        <v>48</v>
      </c>
      <c r="C9" s="64"/>
    </row>
    <row r="10" spans="2:3" ht="25.5" customHeight="1">
      <c r="B10" s="27" t="s">
        <v>339</v>
      </c>
      <c r="C10" s="28"/>
    </row>
    <row r="11" spans="2:3" ht="25.5" customHeight="1">
      <c r="B11" s="44" t="s">
        <v>340</v>
      </c>
      <c r="C11" s="45"/>
    </row>
    <row r="12" spans="2:3" ht="25.5" customHeight="1">
      <c r="B12" s="58" t="s">
        <v>341</v>
      </c>
      <c r="C12" s="45"/>
    </row>
    <row r="13" spans="2:3" ht="25.5" customHeight="1">
      <c r="B13" s="44" t="s">
        <v>342</v>
      </c>
      <c r="C13" s="45"/>
    </row>
    <row r="14" spans="2:3" s="29" customFormat="1" ht="25.5" customHeight="1">
      <c r="B14" s="27" t="s">
        <v>344</v>
      </c>
      <c r="C14" s="28"/>
    </row>
    <row r="15" spans="2:3" ht="25.5" customHeight="1">
      <c r="B15" s="44" t="s">
        <v>343</v>
      </c>
      <c r="C15" s="45"/>
    </row>
    <row r="17" spans="1:3" ht="15" customHeight="1">
      <c r="B17" s="59" t="s">
        <v>49</v>
      </c>
      <c r="C17" s="60"/>
    </row>
    <row r="18" spans="1:3" ht="25.5" customHeight="1">
      <c r="B18" s="58" t="s">
        <v>345</v>
      </c>
      <c r="C18" s="45"/>
    </row>
    <row r="19" spans="1:3" ht="25.5" customHeight="1">
      <c r="B19" s="58" t="s">
        <v>346</v>
      </c>
      <c r="C19" s="45"/>
    </row>
    <row r="20" spans="1:3" s="29" customFormat="1" ht="25.5" customHeight="1">
      <c r="B20" s="32" t="s">
        <v>347</v>
      </c>
      <c r="C20" s="28"/>
    </row>
    <row r="21" spans="1:3" s="29" customFormat="1" ht="25.5" customHeight="1">
      <c r="B21" s="32" t="s">
        <v>348</v>
      </c>
      <c r="C21" s="28"/>
    </row>
    <row r="22" spans="1:3" s="29" customFormat="1" ht="25.5" customHeight="1">
      <c r="B22" s="32" t="s">
        <v>349</v>
      </c>
      <c r="C22" s="28"/>
    </row>
    <row r="23" spans="1:3" s="29" customFormat="1" ht="25.5" customHeight="1">
      <c r="B23" s="32" t="s">
        <v>350</v>
      </c>
      <c r="C23" s="28"/>
    </row>
    <row r="24" spans="1:3" ht="25.5" customHeight="1">
      <c r="B24" s="58" t="s">
        <v>351</v>
      </c>
      <c r="C24" s="45"/>
    </row>
    <row r="26" spans="1:3" ht="15" customHeight="1">
      <c r="B26" s="61" t="s">
        <v>50</v>
      </c>
      <c r="C26" s="62"/>
    </row>
    <row r="27" spans="1:3" ht="25.5" customHeight="1">
      <c r="B27" s="58" t="s">
        <v>352</v>
      </c>
      <c r="C27" s="45"/>
    </row>
    <row r="28" spans="1:3" ht="25.5" customHeight="1">
      <c r="B28" s="58" t="s">
        <v>353</v>
      </c>
      <c r="C28" s="45"/>
    </row>
    <row r="29" spans="1:3" s="29" customFormat="1" ht="25.5" customHeight="1">
      <c r="B29" s="32" t="s">
        <v>354</v>
      </c>
      <c r="C29" s="28"/>
    </row>
    <row r="30" spans="1:3" s="29" customFormat="1" ht="25.5" customHeight="1">
      <c r="B30" s="32" t="s">
        <v>355</v>
      </c>
      <c r="C30" s="28"/>
    </row>
    <row r="31" spans="1:3" s="29" customFormat="1" ht="25.5" customHeight="1">
      <c r="B31" s="32" t="s">
        <v>356</v>
      </c>
      <c r="C31" s="28"/>
    </row>
    <row r="32" spans="1:3" s="29" customFormat="1" ht="25.5" customHeight="1">
      <c r="A32" s="33"/>
      <c r="B32" s="32" t="s">
        <v>357</v>
      </c>
      <c r="C32" s="28"/>
    </row>
    <row r="33" spans="1:3" s="29" customFormat="1" ht="25.5" customHeight="1">
      <c r="B33" s="32" t="s">
        <v>361</v>
      </c>
      <c r="C33" s="28"/>
    </row>
    <row r="34" spans="1:3" ht="25.5" customHeight="1">
      <c r="A34" s="33"/>
      <c r="B34" s="44"/>
      <c r="C34" s="45"/>
    </row>
  </sheetData>
  <mergeCells count="15">
    <mergeCell ref="B9:C9"/>
    <mergeCell ref="B3:C3"/>
    <mergeCell ref="B2:C2"/>
    <mergeCell ref="B11:C11"/>
    <mergeCell ref="B12:C12"/>
    <mergeCell ref="B34:C34"/>
    <mergeCell ref="B13:C13"/>
    <mergeCell ref="B15:C15"/>
    <mergeCell ref="B18:C18"/>
    <mergeCell ref="B19:C19"/>
    <mergeCell ref="B17:C17"/>
    <mergeCell ref="B26:C26"/>
    <mergeCell ref="B28:C28"/>
    <mergeCell ref="B27:C27"/>
    <mergeCell ref="B24:C24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P57"/>
  <sheetViews>
    <sheetView showGridLines="0" topLeftCell="A19" zoomScale="85" zoomScaleNormal="85" workbookViewId="0">
      <selection activeCell="D8" sqref="D8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35.85546875" customWidth="1"/>
    <col min="5" max="5" width="10.140625" customWidth="1"/>
    <col min="6" max="7" width="11.5703125" bestFit="1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6" ht="27.75" customHeight="1">
      <c r="B2" s="79" t="s">
        <v>51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2:16" ht="79.7" customHeight="1">
      <c r="B3" s="78" t="s">
        <v>135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0"/>
    </row>
    <row r="4" spans="2:16" ht="25.5" customHeight="1">
      <c r="B4" s="12" t="s">
        <v>52</v>
      </c>
      <c r="C4" s="11" t="s">
        <v>53</v>
      </c>
      <c r="D4" s="11" t="s">
        <v>54</v>
      </c>
      <c r="E4" s="11" t="s">
        <v>55</v>
      </c>
      <c r="F4" s="20" t="s">
        <v>138</v>
      </c>
      <c r="G4" s="20" t="s">
        <v>139</v>
      </c>
      <c r="H4" s="17" t="s">
        <v>56</v>
      </c>
      <c r="I4" s="19" t="s">
        <v>137</v>
      </c>
      <c r="J4" s="11" t="s">
        <v>57</v>
      </c>
      <c r="K4" s="18">
        <v>1</v>
      </c>
      <c r="L4" s="18">
        <v>2</v>
      </c>
      <c r="M4" s="18">
        <v>3</v>
      </c>
    </row>
    <row r="5" spans="2:16" ht="30" customHeight="1">
      <c r="B5" s="5">
        <v>1</v>
      </c>
      <c r="C5" s="5" t="s">
        <v>58</v>
      </c>
      <c r="D5" s="2" t="s">
        <v>362</v>
      </c>
      <c r="E5" s="5" t="s">
        <v>363</v>
      </c>
      <c r="F5" s="36">
        <v>46217</v>
      </c>
      <c r="G5" s="36">
        <v>46217</v>
      </c>
      <c r="H5" s="5">
        <v>1</v>
      </c>
      <c r="I5" s="5"/>
      <c r="J5" s="5"/>
      <c r="K5" s="3"/>
      <c r="L5" s="3"/>
      <c r="M5" s="3"/>
    </row>
    <row r="6" spans="2:16" ht="30" customHeight="1">
      <c r="B6" s="5">
        <v>2</v>
      </c>
      <c r="C6" s="5" t="s">
        <v>58</v>
      </c>
      <c r="D6" s="2" t="s">
        <v>364</v>
      </c>
      <c r="E6" s="5" t="s">
        <v>363</v>
      </c>
      <c r="F6" s="36">
        <v>46217</v>
      </c>
      <c r="G6" s="36">
        <v>46217</v>
      </c>
      <c r="H6" s="5">
        <v>1</v>
      </c>
      <c r="I6" s="5"/>
      <c r="J6" s="5"/>
      <c r="K6" s="3"/>
      <c r="L6" s="3"/>
      <c r="M6" s="3"/>
    </row>
    <row r="7" spans="2:16" ht="30" customHeight="1">
      <c r="B7" s="5">
        <v>3</v>
      </c>
      <c r="C7" s="5" t="s">
        <v>58</v>
      </c>
      <c r="D7" s="2" t="s">
        <v>365</v>
      </c>
      <c r="E7" s="5" t="s">
        <v>363</v>
      </c>
      <c r="F7" s="36">
        <v>46217</v>
      </c>
      <c r="G7" s="36">
        <v>46217</v>
      </c>
      <c r="H7" s="5">
        <v>1</v>
      </c>
      <c r="I7" s="5"/>
      <c r="J7" s="5"/>
      <c r="K7" s="3"/>
      <c r="L7" s="3"/>
      <c r="M7" s="3"/>
    </row>
    <row r="8" spans="2:16" ht="30" customHeight="1">
      <c r="B8" s="5">
        <v>4</v>
      </c>
      <c r="C8" s="5" t="s">
        <v>59</v>
      </c>
      <c r="D8" s="2" t="s">
        <v>366</v>
      </c>
      <c r="E8" s="5" t="s">
        <v>367</v>
      </c>
      <c r="F8" s="36">
        <v>46217</v>
      </c>
      <c r="G8" s="36">
        <v>46217</v>
      </c>
      <c r="H8" s="5">
        <v>1</v>
      </c>
      <c r="I8" s="5"/>
      <c r="J8" s="5"/>
      <c r="K8" s="3"/>
      <c r="L8" s="3"/>
      <c r="M8" s="3"/>
    </row>
    <row r="9" spans="2:16" ht="30" customHeight="1">
      <c r="B9" s="5">
        <v>5</v>
      </c>
      <c r="C9" s="5" t="s">
        <v>59</v>
      </c>
      <c r="D9" s="2" t="s">
        <v>368</v>
      </c>
      <c r="E9" s="5" t="s">
        <v>367</v>
      </c>
      <c r="F9" s="36">
        <v>46217</v>
      </c>
      <c r="G9" s="36">
        <v>46217</v>
      </c>
      <c r="H9" s="5">
        <v>1</v>
      </c>
      <c r="I9" s="5"/>
      <c r="J9" s="5"/>
      <c r="K9" s="3"/>
      <c r="L9" s="3"/>
      <c r="M9" s="3"/>
    </row>
    <row r="10" spans="2:16" ht="30" customHeight="1">
      <c r="B10" s="5">
        <v>6</v>
      </c>
      <c r="C10" s="5" t="s">
        <v>59</v>
      </c>
      <c r="D10" s="2" t="s">
        <v>369</v>
      </c>
      <c r="E10" s="5" t="s">
        <v>367</v>
      </c>
      <c r="F10" s="36">
        <v>46217</v>
      </c>
      <c r="G10" s="36">
        <v>46217</v>
      </c>
      <c r="H10" s="5">
        <v>1</v>
      </c>
      <c r="I10" s="5"/>
      <c r="J10" s="5"/>
      <c r="K10" s="3"/>
      <c r="L10" s="3"/>
      <c r="M10" s="3"/>
    </row>
    <row r="11" spans="2:16" ht="30" customHeight="1">
      <c r="B11" s="5">
        <v>7</v>
      </c>
      <c r="C11" s="5" t="s">
        <v>60</v>
      </c>
      <c r="D11" s="2" t="s">
        <v>155</v>
      </c>
      <c r="E11" s="5" t="s">
        <v>367</v>
      </c>
      <c r="F11" s="36">
        <v>46217</v>
      </c>
      <c r="G11" s="36">
        <v>46218</v>
      </c>
      <c r="H11" s="5">
        <v>2</v>
      </c>
      <c r="I11" s="5"/>
      <c r="J11" s="5"/>
      <c r="K11" s="3"/>
      <c r="L11" s="3"/>
      <c r="M11" s="3"/>
    </row>
    <row r="12" spans="2:16" ht="30" customHeight="1">
      <c r="B12" s="5">
        <v>8</v>
      </c>
      <c r="C12" s="5" t="s">
        <v>60</v>
      </c>
      <c r="D12" s="2" t="s">
        <v>370</v>
      </c>
      <c r="E12" s="5" t="s">
        <v>367</v>
      </c>
      <c r="F12" s="36">
        <v>46217</v>
      </c>
      <c r="G12" s="36">
        <v>46218</v>
      </c>
      <c r="H12" s="5">
        <v>2</v>
      </c>
      <c r="I12" s="5"/>
      <c r="J12" s="5"/>
      <c r="K12" s="3"/>
      <c r="L12" s="3"/>
      <c r="M12" s="3"/>
    </row>
    <row r="13" spans="2:16" ht="30" customHeight="1">
      <c r="B13" s="5">
        <v>9</v>
      </c>
      <c r="C13" s="5" t="s">
        <v>60</v>
      </c>
      <c r="D13" s="2" t="s">
        <v>371</v>
      </c>
      <c r="E13" s="5" t="s">
        <v>367</v>
      </c>
      <c r="F13" s="36">
        <v>46217</v>
      </c>
      <c r="G13" s="36">
        <v>46218</v>
      </c>
      <c r="H13" s="5">
        <v>2</v>
      </c>
      <c r="I13" s="5"/>
      <c r="J13" s="5"/>
      <c r="K13" s="3"/>
      <c r="L13" s="3"/>
      <c r="M13" s="3"/>
    </row>
    <row r="14" spans="2:16" ht="30" customHeight="1">
      <c r="B14" s="5">
        <v>10</v>
      </c>
      <c r="C14" s="5" t="s">
        <v>60</v>
      </c>
      <c r="D14" s="2" t="s">
        <v>372</v>
      </c>
      <c r="E14" s="5" t="s">
        <v>367</v>
      </c>
      <c r="F14" s="36">
        <v>46218</v>
      </c>
      <c r="G14" s="36">
        <v>46218</v>
      </c>
      <c r="H14" s="5">
        <v>1</v>
      </c>
      <c r="I14" s="5"/>
      <c r="J14" s="5"/>
      <c r="K14" s="3"/>
      <c r="L14" s="3"/>
      <c r="M14" s="3"/>
    </row>
    <row r="15" spans="2:16" ht="30" customHeight="1">
      <c r="B15" s="5">
        <v>11</v>
      </c>
      <c r="C15" s="5" t="s">
        <v>60</v>
      </c>
      <c r="D15" s="2" t="s">
        <v>373</v>
      </c>
      <c r="E15" s="5" t="s">
        <v>367</v>
      </c>
      <c r="F15" s="36">
        <v>46218</v>
      </c>
      <c r="G15" s="36">
        <v>46218</v>
      </c>
      <c r="H15" s="5">
        <v>1</v>
      </c>
      <c r="I15" s="5"/>
      <c r="J15" s="5"/>
      <c r="K15" s="3"/>
      <c r="L15" s="3"/>
      <c r="M15" s="3"/>
    </row>
    <row r="16" spans="2:16" ht="30" customHeight="1">
      <c r="B16" s="5">
        <v>12</v>
      </c>
      <c r="C16" s="5" t="s">
        <v>60</v>
      </c>
      <c r="D16" s="2" t="s">
        <v>374</v>
      </c>
      <c r="E16" s="5" t="s">
        <v>367</v>
      </c>
      <c r="F16" s="36">
        <v>46218</v>
      </c>
      <c r="G16" s="36">
        <v>46218</v>
      </c>
      <c r="H16" s="5">
        <v>1</v>
      </c>
      <c r="I16" s="5"/>
      <c r="J16" s="5"/>
      <c r="K16" s="3"/>
      <c r="L16" s="3"/>
      <c r="M16" s="3"/>
      <c r="P16" s="33" t="s">
        <v>386</v>
      </c>
    </row>
    <row r="17" spans="2:16" ht="30" customHeight="1">
      <c r="B17" s="5">
        <v>13</v>
      </c>
      <c r="C17" s="5" t="s">
        <v>60</v>
      </c>
      <c r="D17" s="2" t="s">
        <v>375</v>
      </c>
      <c r="E17" s="5" t="s">
        <v>367</v>
      </c>
      <c r="F17" s="36">
        <v>46218</v>
      </c>
      <c r="G17" s="36">
        <v>46219</v>
      </c>
      <c r="H17" s="5">
        <v>2</v>
      </c>
      <c r="I17" s="5"/>
      <c r="J17" s="5"/>
      <c r="K17" s="3"/>
      <c r="L17" s="3"/>
      <c r="M17" s="3"/>
      <c r="P17" s="33" t="s">
        <v>387</v>
      </c>
    </row>
    <row r="18" spans="2:16" ht="30" customHeight="1">
      <c r="B18" s="5">
        <v>14</v>
      </c>
      <c r="C18" s="5" t="s">
        <v>60</v>
      </c>
      <c r="D18" s="2" t="s">
        <v>376</v>
      </c>
      <c r="E18" s="5" t="s">
        <v>367</v>
      </c>
      <c r="F18" s="36">
        <v>46218</v>
      </c>
      <c r="G18" s="36">
        <v>46219</v>
      </c>
      <c r="H18" s="5">
        <v>2</v>
      </c>
      <c r="I18" s="5"/>
      <c r="J18" s="5"/>
      <c r="K18" s="3"/>
      <c r="L18" s="3"/>
      <c r="M18" s="3"/>
      <c r="P18" s="33" t="s">
        <v>388</v>
      </c>
    </row>
    <row r="19" spans="2:16" ht="30" customHeight="1">
      <c r="B19" s="5">
        <v>15</v>
      </c>
      <c r="C19" s="5" t="s">
        <v>60</v>
      </c>
      <c r="D19" s="2" t="s">
        <v>377</v>
      </c>
      <c r="E19" s="5" t="s">
        <v>367</v>
      </c>
      <c r="F19" s="36">
        <v>46218</v>
      </c>
      <c r="G19" s="36">
        <v>46219</v>
      </c>
      <c r="H19" s="5">
        <v>2</v>
      </c>
      <c r="I19" s="5"/>
      <c r="J19" s="5"/>
      <c r="K19" s="3"/>
      <c r="L19" s="3"/>
      <c r="M19" s="3"/>
      <c r="P19" s="33" t="s">
        <v>389</v>
      </c>
    </row>
    <row r="20" spans="2:16" ht="30" customHeight="1">
      <c r="B20" s="5">
        <v>16</v>
      </c>
      <c r="C20" s="5" t="s">
        <v>62</v>
      </c>
      <c r="D20" s="2" t="s">
        <v>378</v>
      </c>
      <c r="E20" s="5" t="s">
        <v>363</v>
      </c>
      <c r="F20" s="36">
        <v>46219</v>
      </c>
      <c r="G20" s="36">
        <v>46219</v>
      </c>
      <c r="H20" s="5">
        <v>1</v>
      </c>
      <c r="I20" s="5"/>
      <c r="J20" s="5"/>
      <c r="K20" s="3"/>
      <c r="L20" s="3"/>
      <c r="M20" s="3"/>
      <c r="P20" s="33" t="s">
        <v>390</v>
      </c>
    </row>
    <row r="21" spans="2:16" ht="30" customHeight="1">
      <c r="B21" s="5">
        <v>17</v>
      </c>
      <c r="C21" s="5" t="s">
        <v>62</v>
      </c>
      <c r="D21" s="2" t="s">
        <v>379</v>
      </c>
      <c r="E21" s="5" t="s">
        <v>363</v>
      </c>
      <c r="F21" s="36">
        <v>46219</v>
      </c>
      <c r="G21" s="36">
        <v>46219</v>
      </c>
      <c r="H21" s="5">
        <v>1</v>
      </c>
      <c r="I21" s="5"/>
      <c r="J21" s="5"/>
      <c r="K21" s="3"/>
      <c r="L21" s="3"/>
      <c r="M21" s="3"/>
      <c r="P21" s="33" t="s">
        <v>391</v>
      </c>
    </row>
    <row r="22" spans="2:16" ht="30" customHeight="1">
      <c r="B22" s="5">
        <v>18</v>
      </c>
      <c r="C22" s="5" t="s">
        <v>61</v>
      </c>
      <c r="D22" s="2" t="s">
        <v>380</v>
      </c>
      <c r="E22" s="5" t="s">
        <v>367</v>
      </c>
      <c r="F22" s="36">
        <v>46219</v>
      </c>
      <c r="G22" s="36">
        <v>46219</v>
      </c>
      <c r="H22" s="5">
        <v>1</v>
      </c>
      <c r="I22" s="5"/>
      <c r="J22" s="5"/>
      <c r="K22" s="3"/>
      <c r="L22" s="3"/>
      <c r="M22" s="3"/>
    </row>
    <row r="23" spans="2:16" ht="30" customHeight="1">
      <c r="B23" s="5">
        <v>19</v>
      </c>
      <c r="C23" s="5" t="s">
        <v>63</v>
      </c>
      <c r="D23" s="2" t="s">
        <v>381</v>
      </c>
      <c r="E23" s="5" t="s">
        <v>363</v>
      </c>
      <c r="F23" s="36">
        <v>46219</v>
      </c>
      <c r="G23" s="36">
        <v>46219</v>
      </c>
      <c r="H23" s="5">
        <v>1</v>
      </c>
      <c r="I23" s="5"/>
      <c r="J23" s="5"/>
      <c r="K23" s="3"/>
      <c r="L23" s="3"/>
      <c r="M23" s="3"/>
    </row>
    <row r="24" spans="2:16" ht="30" customHeight="1">
      <c r="B24" s="5">
        <v>20</v>
      </c>
      <c r="C24" s="5" t="s">
        <v>63</v>
      </c>
      <c r="D24" s="2" t="s">
        <v>382</v>
      </c>
      <c r="E24" s="5" t="s">
        <v>367</v>
      </c>
      <c r="F24" s="36">
        <v>46219</v>
      </c>
      <c r="G24" s="36">
        <v>46219</v>
      </c>
      <c r="H24" s="5">
        <v>1</v>
      </c>
      <c r="I24" s="5"/>
      <c r="J24" s="5"/>
      <c r="K24" s="3"/>
      <c r="L24" s="3"/>
      <c r="M24" s="3"/>
    </row>
    <row r="25" spans="2:16" ht="30" customHeight="1">
      <c r="B25" s="5">
        <v>21</v>
      </c>
      <c r="C25" s="5" t="s">
        <v>64</v>
      </c>
      <c r="D25" s="2" t="s">
        <v>383</v>
      </c>
      <c r="E25" s="5" t="s">
        <v>363</v>
      </c>
      <c r="F25" s="36">
        <v>46219</v>
      </c>
      <c r="G25" s="36">
        <v>46219</v>
      </c>
      <c r="H25" s="5">
        <v>1</v>
      </c>
      <c r="I25" s="5"/>
      <c r="J25" s="5"/>
      <c r="K25" s="3"/>
      <c r="L25" s="3"/>
      <c r="M25" s="3"/>
    </row>
    <row r="26" spans="2:16" ht="30" customHeight="1">
      <c r="B26" s="5">
        <v>22</v>
      </c>
      <c r="C26" s="5" t="s">
        <v>64</v>
      </c>
      <c r="D26" s="2" t="s">
        <v>384</v>
      </c>
      <c r="E26" s="5" t="s">
        <v>363</v>
      </c>
      <c r="F26" s="36">
        <v>46219</v>
      </c>
      <c r="G26" s="36">
        <v>46219.625</v>
      </c>
      <c r="H26" s="5">
        <v>1</v>
      </c>
      <c r="I26" s="5"/>
      <c r="J26" s="5"/>
      <c r="K26" s="3"/>
      <c r="L26" s="3"/>
      <c r="M26" s="3"/>
    </row>
    <row r="30" spans="2:16">
      <c r="B30" s="80" t="s">
        <v>136</v>
      </c>
      <c r="C30" s="81"/>
    </row>
    <row r="31" spans="2:16">
      <c r="B31" s="82" t="s">
        <v>58</v>
      </c>
      <c r="C31" s="83"/>
    </row>
    <row r="32" spans="2:16">
      <c r="B32" s="84" t="s">
        <v>59</v>
      </c>
      <c r="C32" s="85"/>
    </row>
    <row r="33" spans="2:5">
      <c r="B33" s="68" t="s">
        <v>60</v>
      </c>
      <c r="C33" s="69"/>
    </row>
    <row r="34" spans="2:5">
      <c r="B34" s="70" t="s">
        <v>61</v>
      </c>
      <c r="C34" s="71"/>
    </row>
    <row r="35" spans="2:5">
      <c r="B35" s="72" t="s">
        <v>62</v>
      </c>
      <c r="C35" s="73"/>
    </row>
    <row r="36" spans="2:5">
      <c r="B36" s="74" t="s">
        <v>63</v>
      </c>
      <c r="C36" s="75"/>
      <c r="D36" s="35"/>
      <c r="E36" s="35"/>
    </row>
    <row r="37" spans="2:5">
      <c r="B37" s="76" t="s">
        <v>64</v>
      </c>
      <c r="C37" s="77"/>
      <c r="D37" s="35"/>
      <c r="E37" s="35"/>
    </row>
    <row r="38" spans="2:5">
      <c r="B38" s="66" t="s">
        <v>65</v>
      </c>
      <c r="C38" s="67"/>
      <c r="D38" s="35"/>
      <c r="E38" s="35"/>
    </row>
    <row r="39" spans="2:5">
      <c r="C39" s="35"/>
      <c r="D39" s="35"/>
      <c r="E39" s="35"/>
    </row>
    <row r="40" spans="2:5">
      <c r="C40" s="35"/>
      <c r="D40" s="35"/>
      <c r="E40" s="35"/>
    </row>
    <row r="41" spans="2:5">
      <c r="C41" s="35"/>
      <c r="D41" s="35"/>
      <c r="E41" s="35"/>
    </row>
    <row r="42" spans="2:5">
      <c r="C42" s="35"/>
      <c r="D42" s="35"/>
      <c r="E42" s="35"/>
    </row>
    <row r="43" spans="2:5">
      <c r="C43" s="35"/>
      <c r="D43" s="35"/>
      <c r="E43" s="35"/>
    </row>
    <row r="44" spans="2:5">
      <c r="C44" s="35"/>
      <c r="D44" s="35"/>
      <c r="E44" s="35"/>
    </row>
    <row r="45" spans="2:5">
      <c r="C45" s="35"/>
      <c r="D45" s="35"/>
      <c r="E45" s="35"/>
    </row>
    <row r="46" spans="2:5">
      <c r="C46" s="35"/>
      <c r="D46" s="35"/>
      <c r="E46" s="35"/>
    </row>
    <row r="47" spans="2:5">
      <c r="C47" s="35"/>
      <c r="D47" s="35"/>
      <c r="E47" s="35"/>
    </row>
    <row r="48" spans="2:5">
      <c r="C48" s="35"/>
      <c r="D48" s="35"/>
      <c r="E48" s="35"/>
    </row>
    <row r="49" spans="3:5">
      <c r="C49" s="35"/>
      <c r="D49" s="35"/>
      <c r="E49" s="35"/>
    </row>
    <row r="50" spans="3:5">
      <c r="C50" s="35"/>
      <c r="D50" s="35"/>
      <c r="E50" s="35"/>
    </row>
    <row r="51" spans="3:5">
      <c r="C51" s="35"/>
      <c r="D51" s="35"/>
      <c r="E51" s="35"/>
    </row>
    <row r="52" spans="3:5">
      <c r="C52" s="35"/>
      <c r="D52" s="35"/>
      <c r="E52" s="35"/>
    </row>
    <row r="53" spans="3:5">
      <c r="C53" s="35"/>
      <c r="D53" s="35"/>
      <c r="E53" s="35"/>
    </row>
    <row r="54" spans="3:5">
      <c r="C54" s="35"/>
      <c r="D54" s="35"/>
      <c r="E54" s="35"/>
    </row>
    <row r="55" spans="3:5">
      <c r="C55" s="35"/>
      <c r="D55" s="35"/>
      <c r="E55" s="35"/>
    </row>
    <row r="56" spans="3:5">
      <c r="C56" s="35"/>
      <c r="D56" s="35"/>
      <c r="E56" s="35"/>
    </row>
    <row r="57" spans="3:5">
      <c r="C57" s="35"/>
      <c r="D57" s="35"/>
      <c r="E57" s="35"/>
    </row>
  </sheetData>
  <mergeCells count="11">
    <mergeCell ref="B3:M3"/>
    <mergeCell ref="B2:M2"/>
    <mergeCell ref="B30:C30"/>
    <mergeCell ref="B31:C31"/>
    <mergeCell ref="B32:C32"/>
    <mergeCell ref="B38:C38"/>
    <mergeCell ref="B33:C33"/>
    <mergeCell ref="B34:C34"/>
    <mergeCell ref="B35:C35"/>
    <mergeCell ref="B36:C36"/>
    <mergeCell ref="B37:C37"/>
  </mergeCells>
  <phoneticPr fontId="17" type="noConversion"/>
  <conditionalFormatting sqref="K5:M26">
    <cfRule type="expression" dxfId="0" priority="2">
      <formula>AND(K$4&gt;=$F5,K$4&lt;=$G5)</formula>
    </cfRule>
  </conditionalFormatting>
  <dataValidations count="2">
    <dataValidation type="list" allowBlank="1" sqref="C5:C26" xr:uid="{00000000-0002-0000-0500-000000000000}">
      <formula1>"기획,설계,개발,배포,테스트,문서화,발표준비"</formula1>
      <formula2>0</formula2>
    </dataValidation>
    <dataValidation type="list" allowBlank="1" sqref="J5:J26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48" t="s">
        <v>66</v>
      </c>
      <c r="C2" s="49"/>
    </row>
    <row r="3" spans="2:3" ht="19.5" customHeight="1">
      <c r="B3" s="54" t="s">
        <v>67</v>
      </c>
      <c r="C3" s="40"/>
    </row>
    <row r="5" spans="2:3" ht="19.5" customHeight="1">
      <c r="B5" s="6" t="s">
        <v>68</v>
      </c>
      <c r="C5" s="6" t="s">
        <v>69</v>
      </c>
    </row>
    <row r="6" spans="2:3" ht="30" customHeight="1">
      <c r="B6" s="4" t="s">
        <v>70</v>
      </c>
      <c r="C6" s="2" t="s">
        <v>71</v>
      </c>
    </row>
    <row r="7" spans="2:3" ht="30" customHeight="1">
      <c r="B7" s="4" t="s">
        <v>72</v>
      </c>
      <c r="C7" s="2" t="s">
        <v>73</v>
      </c>
    </row>
    <row r="8" spans="2:3" ht="30" customHeight="1">
      <c r="B8" s="4" t="s">
        <v>74</v>
      </c>
      <c r="C8" s="2" t="s">
        <v>75</v>
      </c>
    </row>
    <row r="9" spans="2:3" ht="30" customHeight="1">
      <c r="B9" s="1" t="s">
        <v>76</v>
      </c>
      <c r="C9" s="2" t="s">
        <v>77</v>
      </c>
    </row>
    <row r="10" spans="2:3" ht="30" customHeight="1">
      <c r="B10" s="4" t="s">
        <v>78</v>
      </c>
      <c r="C10" s="2" t="s">
        <v>79</v>
      </c>
    </row>
    <row r="11" spans="2:3" ht="30" customHeight="1">
      <c r="B11" s="4" t="s">
        <v>80</v>
      </c>
      <c r="C11" s="2" t="s">
        <v>81</v>
      </c>
    </row>
    <row r="12" spans="2:3" ht="30" customHeight="1">
      <c r="B12" s="4" t="s">
        <v>82</v>
      </c>
      <c r="C12" s="2" t="s">
        <v>83</v>
      </c>
    </row>
    <row r="13" spans="2:3" ht="30" customHeight="1">
      <c r="B13" s="1" t="s">
        <v>84</v>
      </c>
      <c r="C13" s="2" t="s">
        <v>85</v>
      </c>
    </row>
    <row r="14" spans="2:3" ht="30" customHeight="1">
      <c r="B14" s="4" t="s">
        <v>86</v>
      </c>
      <c r="C14" s="2" t="s">
        <v>87</v>
      </c>
    </row>
    <row r="15" spans="2:3" ht="30" customHeight="1">
      <c r="B15" s="1" t="s">
        <v>88</v>
      </c>
      <c r="C15" s="2" t="s">
        <v>89</v>
      </c>
    </row>
    <row r="16" spans="2:3" ht="30" customHeight="1">
      <c r="B16" s="1" t="s">
        <v>90</v>
      </c>
      <c r="C16" s="2" t="s">
        <v>91</v>
      </c>
    </row>
    <row r="17" spans="2:3" ht="30" customHeight="1">
      <c r="B17" s="4" t="s">
        <v>92</v>
      </c>
      <c r="C17" s="2" t="s">
        <v>93</v>
      </c>
    </row>
    <row r="18" spans="2:3" ht="30" customHeight="1">
      <c r="B18" s="1" t="s">
        <v>94</v>
      </c>
      <c r="C18" s="2" t="s">
        <v>95</v>
      </c>
    </row>
    <row r="19" spans="2:3" ht="30" customHeight="1">
      <c r="B19" s="1" t="s">
        <v>96</v>
      </c>
      <c r="C19" s="2" t="s">
        <v>97</v>
      </c>
    </row>
    <row r="20" spans="2:3" ht="30" customHeight="1">
      <c r="B20" s="1" t="s">
        <v>98</v>
      </c>
      <c r="C20" s="2" t="s">
        <v>99</v>
      </c>
    </row>
    <row r="21" spans="2:3" ht="30" customHeight="1">
      <c r="B21" s="1" t="s">
        <v>100</v>
      </c>
      <c r="C21" s="3" t="s">
        <v>101</v>
      </c>
    </row>
    <row r="22" spans="2:3" ht="30" customHeight="1">
      <c r="B22" s="1" t="s">
        <v>102</v>
      </c>
      <c r="C22" s="2" t="s">
        <v>103</v>
      </c>
    </row>
    <row r="23" spans="2:3" ht="30" customHeight="1">
      <c r="B23" s="4" t="s">
        <v>104</v>
      </c>
      <c r="C23" s="2" t="s">
        <v>105</v>
      </c>
    </row>
    <row r="24" spans="2:3" ht="30" customHeight="1">
      <c r="B24" s="4" t="s">
        <v>106</v>
      </c>
      <c r="C24" s="2" t="s">
        <v>107</v>
      </c>
    </row>
    <row r="25" spans="2:3" ht="30" customHeight="1">
      <c r="B25" s="4" t="s">
        <v>108</v>
      </c>
      <c r="C25" s="2" t="s">
        <v>109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cp:lastPrinted>2026-07-14T07:43:58Z</cp:lastPrinted>
  <dcterms:created xsi:type="dcterms:W3CDTF">2026-07-04T14:47:43Z</dcterms:created>
  <dcterms:modified xsi:type="dcterms:W3CDTF">2026-07-14T08:39:34Z</dcterms:modified>
  <dc:language>en-US</dc:language>
</cp:coreProperties>
</file>